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worksheets/sheet6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heckCompatibility="1" defaultThemeVersion="124226"/>
  <bookViews>
    <workbookView xWindow="600" yWindow="480" windowWidth="15480" windowHeight="7935"/>
  </bookViews>
  <sheets>
    <sheet name="As of 11302012" sheetId="9" r:id="rId1"/>
    <sheet name="09302012" sheetId="7" state="hidden" r:id="rId2"/>
    <sheet name="06302012" sheetId="5" state="hidden" r:id="rId3"/>
    <sheet name="03312012" sheetId="4" state="hidden" r:id="rId4"/>
    <sheet name="As of 01272012" sheetId="3" state="hidden" r:id="rId5"/>
    <sheet name="Original" sheetId="2" state="hidden" r:id="rId6"/>
  </sheets>
  <definedNames>
    <definedName name="_xlnm._FilterDatabase" localSheetId="3" hidden="1">'03312012'!$B$6:$F$447</definedName>
    <definedName name="_xlnm._FilterDatabase" localSheetId="2" hidden="1">'06302012'!$B$6:$I$6</definedName>
    <definedName name="_xlnm._FilterDatabase" localSheetId="1" hidden="1">'09302012'!$B$6:$J$444</definedName>
    <definedName name="_xlnm._FilterDatabase" localSheetId="4" hidden="1">'As of 01272012'!$B$6:$F$446</definedName>
    <definedName name="_xlnm._FilterDatabase" localSheetId="5" hidden="1">Original!$A$6:$E$439</definedName>
    <definedName name="_xlnm.Print_Area" localSheetId="3">'03312012'!$B$1:$H$448</definedName>
    <definedName name="_xlnm.Print_Area" localSheetId="2">'06302012'!$B$1:$H$448</definedName>
    <definedName name="_xlnm.Print_Area" localSheetId="1">'09302012'!$B$1:$I$444</definedName>
    <definedName name="_xlnm.Print_Area" localSheetId="4">'As of 01272012'!$A$1:$H$447</definedName>
    <definedName name="_xlnm.Print_Area" localSheetId="5">Original!$A$1:$H$440</definedName>
    <definedName name="_xlnm.Print_Titles" localSheetId="1">'09302012'!$1:$6</definedName>
  </definedNames>
  <calcPr calcId="125725"/>
</workbook>
</file>

<file path=xl/calcChain.xml><?xml version="1.0" encoding="utf-8"?>
<calcChain xmlns="http://schemas.openxmlformats.org/spreadsheetml/2006/main">
  <c r="A435" i="9"/>
  <c r="G438" l="1"/>
  <c r="F438"/>
  <c r="B438"/>
  <c r="A170"/>
  <c r="A427"/>
  <c r="A412"/>
  <c r="A165"/>
  <c r="A136"/>
  <c r="A383"/>
  <c r="A164"/>
  <c r="A143"/>
  <c r="A234"/>
  <c r="A43"/>
  <c r="A192"/>
  <c r="A121"/>
  <c r="A379"/>
  <c r="A107"/>
  <c r="A159"/>
  <c r="A184"/>
  <c r="A432"/>
  <c r="A27"/>
  <c r="A411"/>
  <c r="A382"/>
  <c r="A345"/>
  <c r="A153"/>
  <c r="A342"/>
  <c r="A128"/>
  <c r="A162"/>
  <c r="A224"/>
  <c r="A13"/>
  <c r="A369"/>
  <c r="A56"/>
  <c r="A247"/>
  <c r="A229"/>
  <c r="A232"/>
  <c r="A245"/>
  <c r="A115"/>
  <c r="A83"/>
  <c r="A311"/>
  <c r="A47"/>
  <c r="A172"/>
  <c r="A127"/>
  <c r="A129"/>
  <c r="A111"/>
  <c r="A308"/>
  <c r="A19"/>
  <c r="A130"/>
  <c r="A40"/>
  <c r="A315"/>
  <c r="A59"/>
  <c r="A305"/>
  <c r="A225"/>
  <c r="A317"/>
  <c r="A320"/>
  <c r="A180"/>
  <c r="A329"/>
  <c r="A416"/>
  <c r="A88"/>
  <c r="A71"/>
  <c r="A161"/>
  <c r="A141"/>
  <c r="A77"/>
  <c r="A139"/>
  <c r="A394"/>
  <c r="A125"/>
  <c r="A39"/>
  <c r="A99"/>
  <c r="A188"/>
  <c r="A360"/>
  <c r="A60"/>
  <c r="A55"/>
  <c r="A323"/>
  <c r="A276"/>
  <c r="A359"/>
  <c r="A64"/>
  <c r="A109"/>
  <c r="A433"/>
  <c r="A275"/>
  <c r="A81"/>
  <c r="A208"/>
  <c r="A38"/>
  <c r="A385"/>
  <c r="A226"/>
  <c r="A303"/>
  <c r="A62"/>
  <c r="A93"/>
  <c r="A137"/>
  <c r="A58"/>
  <c r="A104"/>
  <c r="A61"/>
  <c r="A213"/>
  <c r="A263"/>
  <c r="A313"/>
  <c r="A134"/>
  <c r="A422"/>
  <c r="A185"/>
  <c r="A152"/>
  <c r="A98"/>
  <c r="A310"/>
  <c r="A21"/>
  <c r="A395"/>
  <c r="A278"/>
  <c r="A167"/>
  <c r="A187"/>
  <c r="A63"/>
  <c r="A57"/>
  <c r="A198"/>
  <c r="A228"/>
  <c r="A69"/>
  <c r="A392"/>
  <c r="A258"/>
  <c r="A205"/>
  <c r="A169"/>
  <c r="A321"/>
  <c r="A284"/>
  <c r="A46"/>
  <c r="A90"/>
  <c r="A42"/>
  <c r="A296"/>
  <c r="A140"/>
  <c r="A387"/>
  <c r="A10"/>
  <c r="A266"/>
  <c r="A215"/>
  <c r="A203"/>
  <c r="A271"/>
  <c r="A244"/>
  <c r="A290"/>
  <c r="A391"/>
  <c r="A146"/>
  <c r="A65"/>
  <c r="A366"/>
  <c r="A20"/>
  <c r="A262"/>
  <c r="A183"/>
  <c r="A316"/>
  <c r="A231"/>
  <c r="A283"/>
  <c r="A49"/>
  <c r="A23"/>
  <c r="A265"/>
  <c r="A133"/>
  <c r="A304"/>
  <c r="A404"/>
  <c r="A240"/>
  <c r="A282"/>
  <c r="A157"/>
  <c r="A37"/>
  <c r="A135"/>
  <c r="A365"/>
  <c r="A246"/>
  <c r="A144"/>
  <c r="A174"/>
  <c r="A197"/>
  <c r="A353"/>
  <c r="A399"/>
  <c r="A147"/>
  <c r="A160"/>
  <c r="A252"/>
  <c r="A202"/>
  <c r="A358"/>
  <c r="A16"/>
  <c r="A270"/>
  <c r="A18"/>
  <c r="A243"/>
  <c r="A306"/>
  <c r="A357"/>
  <c r="A44"/>
  <c r="A217"/>
  <c r="A158"/>
  <c r="A398"/>
  <c r="A113"/>
  <c r="A255"/>
  <c r="A210"/>
  <c r="A29"/>
  <c r="A106"/>
  <c r="A173"/>
  <c r="A75"/>
  <c r="A401"/>
  <c r="A15"/>
  <c r="A223"/>
  <c r="A393"/>
  <c r="A108"/>
  <c r="A155"/>
  <c r="A112"/>
  <c r="A417"/>
  <c r="A194"/>
  <c r="A175"/>
  <c r="A336"/>
  <c r="A251"/>
  <c r="A216"/>
  <c r="A390"/>
  <c r="A222"/>
  <c r="A190"/>
  <c r="A274"/>
  <c r="A166"/>
  <c r="A78"/>
  <c r="A95"/>
  <c r="A17"/>
  <c r="A80"/>
  <c r="A407"/>
  <c r="A182"/>
  <c r="A218"/>
  <c r="A289"/>
  <c r="A396"/>
  <c r="A51"/>
  <c r="A273"/>
  <c r="A367"/>
  <c r="A402"/>
  <c r="A120"/>
  <c r="A405"/>
  <c r="A32"/>
  <c r="A73"/>
  <c r="A389"/>
  <c r="A220"/>
  <c r="A176"/>
  <c r="A302"/>
  <c r="A436"/>
  <c r="A332"/>
  <c r="A413"/>
  <c r="A272"/>
  <c r="A400"/>
  <c r="A201"/>
  <c r="A337"/>
  <c r="A397"/>
  <c r="A403"/>
  <c r="A301"/>
  <c r="A352"/>
  <c r="A31"/>
  <c r="A96"/>
  <c r="A36"/>
  <c r="A9"/>
  <c r="A279"/>
  <c r="A424"/>
  <c r="A87"/>
  <c r="A70"/>
  <c r="A294"/>
  <c r="A334"/>
  <c r="A425"/>
  <c r="A423"/>
  <c r="A79"/>
  <c r="A200"/>
  <c r="A281"/>
  <c r="A418"/>
  <c r="A415"/>
  <c r="A368"/>
  <c r="A421"/>
  <c r="A378"/>
  <c r="A138"/>
  <c r="A380"/>
  <c r="A384"/>
  <c r="A189"/>
  <c r="A204"/>
  <c r="A386"/>
  <c r="A406"/>
  <c r="A339"/>
  <c r="A148"/>
  <c r="A41"/>
  <c r="A35"/>
  <c r="A85"/>
  <c r="A343"/>
  <c r="A186"/>
  <c r="A238"/>
  <c r="A426"/>
  <c r="A340"/>
  <c r="A68"/>
  <c r="A250"/>
  <c r="A242"/>
  <c r="A325"/>
  <c r="A126"/>
  <c r="A254"/>
  <c r="A434"/>
  <c r="A341"/>
  <c r="A92"/>
  <c r="A168"/>
  <c r="A420"/>
  <c r="A327"/>
  <c r="A338"/>
  <c r="A219"/>
  <c r="A437"/>
  <c r="A54"/>
  <c r="A326"/>
  <c r="A253"/>
  <c r="A381"/>
  <c r="A241"/>
  <c r="A26"/>
  <c r="A312"/>
  <c r="A371"/>
  <c r="A370"/>
  <c r="A324"/>
  <c r="A114"/>
  <c r="A237"/>
  <c r="A199"/>
  <c r="A331"/>
  <c r="A117"/>
  <c r="A333"/>
  <c r="A142"/>
  <c r="A211"/>
  <c r="A388"/>
  <c r="A356"/>
  <c r="A410"/>
  <c r="A214"/>
  <c r="A86"/>
  <c r="A145"/>
  <c r="A28"/>
  <c r="A257"/>
  <c r="A76"/>
  <c r="A372"/>
  <c r="A195"/>
  <c r="A269"/>
  <c r="A295"/>
  <c r="A212"/>
  <c r="A292"/>
  <c r="A293"/>
  <c r="A256"/>
  <c r="A207"/>
  <c r="A264"/>
  <c r="A33"/>
  <c r="A430"/>
  <c r="A236"/>
  <c r="A300"/>
  <c r="A124"/>
  <c r="A355"/>
  <c r="A50"/>
  <c r="A344"/>
  <c r="A30"/>
  <c r="A239"/>
  <c r="A322"/>
  <c r="A25"/>
  <c r="A11"/>
  <c r="A288"/>
  <c r="A132"/>
  <c r="A314"/>
  <c r="A377"/>
  <c r="A351"/>
  <c r="A350"/>
  <c r="A118"/>
  <c r="A354"/>
  <c r="A249"/>
  <c r="A193"/>
  <c r="A171"/>
  <c r="A84"/>
  <c r="A67"/>
  <c r="A298"/>
  <c r="A280"/>
  <c r="A297"/>
  <c r="A179"/>
  <c r="A268"/>
  <c r="A123"/>
  <c r="A102"/>
  <c r="A45"/>
  <c r="A110"/>
  <c r="A24"/>
  <c r="A261"/>
  <c r="A91"/>
  <c r="A150"/>
  <c r="A260"/>
  <c r="A119"/>
  <c r="A48"/>
  <c r="A97"/>
  <c r="A22"/>
  <c r="A82"/>
  <c r="A34"/>
  <c r="A72"/>
  <c r="A319"/>
  <c r="A277"/>
  <c r="A409"/>
  <c r="A101"/>
  <c r="A330"/>
  <c r="A53"/>
  <c r="A156"/>
  <c r="A103"/>
  <c r="A307"/>
  <c r="A259"/>
  <c r="A116"/>
  <c r="A181"/>
  <c r="A248"/>
  <c r="A286"/>
  <c r="A349"/>
  <c r="A196"/>
  <c r="A221"/>
  <c r="A122"/>
  <c r="A66"/>
  <c r="A8"/>
  <c r="A373"/>
  <c r="A299"/>
  <c r="A206"/>
  <c r="A154"/>
  <c r="A291"/>
  <c r="A364"/>
  <c r="A285"/>
  <c r="A414"/>
  <c r="A74"/>
  <c r="A375"/>
  <c r="A105"/>
  <c r="A348"/>
  <c r="A267"/>
  <c r="A151"/>
  <c r="A89"/>
  <c r="A419"/>
  <c r="A287"/>
  <c r="A429"/>
  <c r="A335"/>
  <c r="A363"/>
  <c r="A191"/>
  <c r="A346"/>
  <c r="A14"/>
  <c r="A230"/>
  <c r="A376"/>
  <c r="A347"/>
  <c r="A52"/>
  <c r="A318"/>
  <c r="A374"/>
  <c r="A178"/>
  <c r="A177"/>
  <c r="A12"/>
  <c r="A431"/>
  <c r="A309"/>
  <c r="A227"/>
  <c r="A328"/>
  <c r="A94"/>
  <c r="A149"/>
  <c r="A428"/>
  <c r="A209"/>
  <c r="A100"/>
  <c r="A163"/>
  <c r="A362"/>
  <c r="A235"/>
  <c r="A408"/>
  <c r="A131"/>
  <c r="A233"/>
  <c r="A361"/>
  <c r="A7"/>
  <c r="F444" i="7" l="1"/>
  <c r="G444"/>
  <c r="F448" i="5"/>
  <c r="E448"/>
  <c r="F447" i="3"/>
  <c r="E447"/>
  <c r="F448" i="4"/>
  <c r="E448"/>
  <c r="F440" i="2"/>
  <c r="E440"/>
  <c r="H440"/>
  <c r="G440"/>
</calcChain>
</file>

<file path=xl/sharedStrings.xml><?xml version="1.0" encoding="utf-8"?>
<sst xmlns="http://schemas.openxmlformats.org/spreadsheetml/2006/main" count="9912" uniqueCount="1488">
  <si>
    <t>RNM00061</t>
  </si>
  <si>
    <t>NM0502AQ</t>
  </si>
  <si>
    <t>RPA00469</t>
  </si>
  <si>
    <t>PA0143ZZ</t>
  </si>
  <si>
    <t>RAR00062</t>
  </si>
  <si>
    <t>AR0057ZZ</t>
  </si>
  <si>
    <t>VNJ00005</t>
  </si>
  <si>
    <t>NJ0108ZZ</t>
  </si>
  <si>
    <t>RNV00049</t>
  </si>
  <si>
    <t>NV0294ZZ</t>
  </si>
  <si>
    <t>RLA00102</t>
  </si>
  <si>
    <t>LA0029ZZ</t>
  </si>
  <si>
    <t>RME00033</t>
  </si>
  <si>
    <t>ME0823BJ</t>
  </si>
  <si>
    <t>RWV00152</t>
  </si>
  <si>
    <t>WV0003ZZ</t>
  </si>
  <si>
    <t>RNJ00152</t>
  </si>
  <si>
    <t>NJ0056ZZ</t>
  </si>
  <si>
    <t>ROR00124</t>
  </si>
  <si>
    <t>OR0024ZZ</t>
  </si>
  <si>
    <t>VHI00006</t>
  </si>
  <si>
    <t>HI0011ZZ</t>
  </si>
  <si>
    <t>RIL00466</t>
  </si>
  <si>
    <t>IL0154ZZ</t>
  </si>
  <si>
    <t>RAK00097</t>
  </si>
  <si>
    <t>AK0506AH</t>
  </si>
  <si>
    <t>RIL00054</t>
  </si>
  <si>
    <t>IL0222ZZ</t>
  </si>
  <si>
    <t>RPA00479</t>
  </si>
  <si>
    <t>PA0588ZZ</t>
  </si>
  <si>
    <t>ROR00127</t>
  </si>
  <si>
    <t>OR0053ZZ</t>
  </si>
  <si>
    <t>RWA00379</t>
  </si>
  <si>
    <t>WA0059ZZ</t>
  </si>
  <si>
    <t>RAR00058</t>
  </si>
  <si>
    <t>AR0078ZZ</t>
  </si>
  <si>
    <t>ROR00122</t>
  </si>
  <si>
    <t>OR0018ZZ</t>
  </si>
  <si>
    <t>RWA00392</t>
  </si>
  <si>
    <t>WA7587ZZ</t>
  </si>
  <si>
    <t>RCA00653</t>
  </si>
  <si>
    <t>CA0149ZZ</t>
  </si>
  <si>
    <t>ROR00011</t>
  </si>
  <si>
    <t>OR0051ZZ</t>
  </si>
  <si>
    <t>RIL00506</t>
  </si>
  <si>
    <t>IL0205ZZ</t>
  </si>
  <si>
    <t>RAR00060</t>
  </si>
  <si>
    <t>AR0062ZZ</t>
  </si>
  <si>
    <t>RKS00044</t>
  </si>
  <si>
    <t>KS0092ZZ</t>
  </si>
  <si>
    <t>VOR00007</t>
  </si>
  <si>
    <t>OR0043ZZ</t>
  </si>
  <si>
    <t>ROR00126</t>
  </si>
  <si>
    <t>OR0052ZZ</t>
  </si>
  <si>
    <t>ROR00043</t>
  </si>
  <si>
    <t>RAR00059</t>
  </si>
  <si>
    <t>AR0066ZZ</t>
  </si>
  <si>
    <t>RFL00114</t>
  </si>
  <si>
    <t>FL0010ZZ</t>
  </si>
  <si>
    <t>RWV00153</t>
  </si>
  <si>
    <t>WV0050ZZ</t>
  </si>
  <si>
    <t>ROR00123</t>
  </si>
  <si>
    <t>OR0023ZZ</t>
  </si>
  <si>
    <t>RAK00091</t>
  </si>
  <si>
    <t>AK0005AK</t>
  </si>
  <si>
    <t>ROR00125</t>
  </si>
  <si>
    <t>RWA00380</t>
  </si>
  <si>
    <t>WA0119PR</t>
  </si>
  <si>
    <t>RWA00381</t>
  </si>
  <si>
    <t>WA0094ZZ</t>
  </si>
  <si>
    <t>RPA00478</t>
  </si>
  <si>
    <t>RWA00378</t>
  </si>
  <si>
    <t>WA0035ZZ</t>
  </si>
  <si>
    <t>RVA00189</t>
  </si>
  <si>
    <t>VA0054ZZ</t>
  </si>
  <si>
    <t>RWA00401</t>
  </si>
  <si>
    <t>WA0653SB</t>
  </si>
  <si>
    <t>RWA00386</t>
  </si>
  <si>
    <t>WA0120BN</t>
  </si>
  <si>
    <t>ROR00101</t>
  </si>
  <si>
    <t>RCO00321</t>
  </si>
  <si>
    <t>CO0515AA</t>
  </si>
  <si>
    <t>RTX00579</t>
  </si>
  <si>
    <t>TX0318PH</t>
  </si>
  <si>
    <t>RPA00392</t>
  </si>
  <si>
    <t>PA0158ZZ</t>
  </si>
  <si>
    <t>RCA00658</t>
  </si>
  <si>
    <t>CA0088ZZ</t>
  </si>
  <si>
    <t>RVA00190</t>
  </si>
  <si>
    <t>VA0686ZZ</t>
  </si>
  <si>
    <t>RKY00034</t>
  </si>
  <si>
    <t>KY0088ZZ</t>
  </si>
  <si>
    <t>RCO00325</t>
  </si>
  <si>
    <t>CO0657AA</t>
  </si>
  <si>
    <t>RPA00489</t>
  </si>
  <si>
    <t>Y00APPTR</t>
  </si>
  <si>
    <t>AX0000AX</t>
  </si>
  <si>
    <t>RMO00353</t>
  </si>
  <si>
    <t>MO0121ZZ</t>
  </si>
  <si>
    <t>RCO00264</t>
  </si>
  <si>
    <t>CO0533AA</t>
  </si>
  <si>
    <t>RCO00324</t>
  </si>
  <si>
    <t>CO0654AA</t>
  </si>
  <si>
    <t>RPA22457</t>
  </si>
  <si>
    <t>RTX00554</t>
  </si>
  <si>
    <t>TX0272ZZ</t>
  </si>
  <si>
    <t>RCO00310</t>
  </si>
  <si>
    <t>CO0527AA</t>
  </si>
  <si>
    <t>RFL00122</t>
  </si>
  <si>
    <t>FL0065ZZ</t>
  </si>
  <si>
    <t>RWA00375</t>
  </si>
  <si>
    <t>WA0082ZZ</t>
  </si>
  <si>
    <t>RPA00488</t>
  </si>
  <si>
    <t>PA0233ZZ</t>
  </si>
  <si>
    <t>RPA00495</t>
  </si>
  <si>
    <t>PA0600ZZ</t>
  </si>
  <si>
    <t>RPA00494</t>
  </si>
  <si>
    <t>PA0064ZZ</t>
  </si>
  <si>
    <t>RTX00576</t>
  </si>
  <si>
    <t>TX0540LT</t>
  </si>
  <si>
    <t>VDC00032</t>
  </si>
  <si>
    <t>DC0021ZZ</t>
  </si>
  <si>
    <t>RTX00572</t>
  </si>
  <si>
    <t>TX0999NW</t>
  </si>
  <si>
    <t>RCO00322</t>
  </si>
  <si>
    <t>CO0514AA</t>
  </si>
  <si>
    <t>RGA00114</t>
  </si>
  <si>
    <t>GA0103ZZ</t>
  </si>
  <si>
    <t>RSC00052</t>
  </si>
  <si>
    <t>SC0058ZZ</t>
  </si>
  <si>
    <t>RWA00376</t>
  </si>
  <si>
    <t>WA0053ZZ</t>
  </si>
  <si>
    <t>RCO00323</t>
  </si>
  <si>
    <t>CO0519AA</t>
  </si>
  <si>
    <t>RTX00563</t>
  </si>
  <si>
    <t>TX0282JL</t>
  </si>
  <si>
    <t>RCO00326</t>
  </si>
  <si>
    <t>CO0531AA</t>
  </si>
  <si>
    <t>RPA00474</t>
  </si>
  <si>
    <t>RTX00561</t>
  </si>
  <si>
    <t>RCO00311</t>
  </si>
  <si>
    <t>CO0532AA</t>
  </si>
  <si>
    <t>RCO00313</t>
  </si>
  <si>
    <t>CO0624AA</t>
  </si>
  <si>
    <t>RTX00580</t>
  </si>
  <si>
    <t>RTX00510</t>
  </si>
  <si>
    <t>TX0965YS</t>
  </si>
  <si>
    <t>RTX00505</t>
  </si>
  <si>
    <t>TX0963YS</t>
  </si>
  <si>
    <t>RVA00171</t>
  </si>
  <si>
    <t>VA0002ZZ</t>
  </si>
  <si>
    <t>RTX00512</t>
  </si>
  <si>
    <t>TX0966YS</t>
  </si>
  <si>
    <t>RTX00515</t>
  </si>
  <si>
    <t>TX0973YS</t>
  </si>
  <si>
    <t>RTX00516</t>
  </si>
  <si>
    <t>RTX00508</t>
  </si>
  <si>
    <t>TX0964YS</t>
  </si>
  <si>
    <t>RTX00514</t>
  </si>
  <si>
    <t>TX0972YS</t>
  </si>
  <si>
    <t>RTX00503</t>
  </si>
  <si>
    <t>TX0937YS</t>
  </si>
  <si>
    <t>RTX00511</t>
  </si>
  <si>
    <t>RDC01575</t>
  </si>
  <si>
    <t>DC0093ZZ</t>
  </si>
  <si>
    <t>RTX00513</t>
  </si>
  <si>
    <t>RTX00506</t>
  </si>
  <si>
    <t>RTX00509</t>
  </si>
  <si>
    <t>RTX00502</t>
  </si>
  <si>
    <t>RMN00193</t>
  </si>
  <si>
    <t>MN0015ZZ</t>
  </si>
  <si>
    <t>RKY00051</t>
  </si>
  <si>
    <t>KY0008AB</t>
  </si>
  <si>
    <t>RTX00507</t>
  </si>
  <si>
    <t>RIL00463</t>
  </si>
  <si>
    <t>IL0059ZZ</t>
  </si>
  <si>
    <t>RNC00059</t>
  </si>
  <si>
    <t>NC0113ZZ</t>
  </si>
  <si>
    <t>RMN00187</t>
  </si>
  <si>
    <t>MN0036ZZ</t>
  </si>
  <si>
    <t>RIN00252</t>
  </si>
  <si>
    <t>IN0031ZZ</t>
  </si>
  <si>
    <t>RNC00058</t>
  </si>
  <si>
    <t>NC0058ZZ</t>
  </si>
  <si>
    <t>RIN00268</t>
  </si>
  <si>
    <t>IN0531JF</t>
  </si>
  <si>
    <t>RMN00158</t>
  </si>
  <si>
    <t>RNJ00158</t>
  </si>
  <si>
    <t>NJ5003ZZ</t>
  </si>
  <si>
    <t>RNJ00161</t>
  </si>
  <si>
    <t>NJ5002ZZ</t>
  </si>
  <si>
    <t>RNJ00160</t>
  </si>
  <si>
    <t>NJ0088ZZ</t>
  </si>
  <si>
    <t>RMO00260</t>
  </si>
  <si>
    <t>MO0620AF</t>
  </si>
  <si>
    <t>RMO00256</t>
  </si>
  <si>
    <t>MO0611AF</t>
  </si>
  <si>
    <t>RMO00253</t>
  </si>
  <si>
    <t>MO0605AF</t>
  </si>
  <si>
    <t>RMO00303</t>
  </si>
  <si>
    <t>MO0626AF</t>
  </si>
  <si>
    <t>RMO00302</t>
  </si>
  <si>
    <t>MO0613AF</t>
  </si>
  <si>
    <t>RMO00255</t>
  </si>
  <si>
    <t>MO0608AF</t>
  </si>
  <si>
    <t>RNJ00159</t>
  </si>
  <si>
    <t>NJ0015ZZ</t>
  </si>
  <si>
    <t>RTX00521</t>
  </si>
  <si>
    <t>TX0075ZZ</t>
  </si>
  <si>
    <t>RMO00257</t>
  </si>
  <si>
    <t>MO0614AF</t>
  </si>
  <si>
    <t>RAK00089</t>
  </si>
  <si>
    <t>RNV00052</t>
  </si>
  <si>
    <t>RNV00045</t>
  </si>
  <si>
    <t>RNV00051</t>
  </si>
  <si>
    <t>RNV00048</t>
  </si>
  <si>
    <t>RCA00642</t>
  </si>
  <si>
    <t>CA0096DD</t>
  </si>
  <si>
    <t>RWV00151</t>
  </si>
  <si>
    <t>RFL00124</t>
  </si>
  <si>
    <t>FL0064AE</t>
  </si>
  <si>
    <t>RMI00095</t>
  </si>
  <si>
    <t>MI0048ZZ</t>
  </si>
  <si>
    <t>RMI00275</t>
  </si>
  <si>
    <t>MI0507BC</t>
  </si>
  <si>
    <t>RIL00443</t>
  </si>
  <si>
    <t>IL0209CF</t>
  </si>
  <si>
    <t>RWA00228</t>
  </si>
  <si>
    <t>RWA20715</t>
  </si>
  <si>
    <t>WA0551FB</t>
  </si>
  <si>
    <t>RTX00549</t>
  </si>
  <si>
    <t>TX0312BM</t>
  </si>
  <si>
    <t>ROK00091</t>
  </si>
  <si>
    <t>OK0039ZZ</t>
  </si>
  <si>
    <t>RTX00550</t>
  </si>
  <si>
    <t>ROK00097</t>
  </si>
  <si>
    <t>ROK00093</t>
  </si>
  <si>
    <t>RTX00552</t>
  </si>
  <si>
    <t>RTX00551</t>
  </si>
  <si>
    <t>RTX00548</t>
  </si>
  <si>
    <t>RNE00045</t>
  </si>
  <si>
    <t>NE0018ZZ</t>
  </si>
  <si>
    <t>ROR00121</t>
  </si>
  <si>
    <t>RTX00557</t>
  </si>
  <si>
    <t>TX0116CV</t>
  </si>
  <si>
    <t>RTX00560</t>
  </si>
  <si>
    <t>RTX00574</t>
  </si>
  <si>
    <t>RTX00562</t>
  </si>
  <si>
    <t>RWV00180</t>
  </si>
  <si>
    <t>WV0016FP</t>
  </si>
  <si>
    <t>RAR00057</t>
  </si>
  <si>
    <t>AR0021ZZ</t>
  </si>
  <si>
    <t>RTX00571</t>
  </si>
  <si>
    <t>RTX00578</t>
  </si>
  <si>
    <t>RIL02578</t>
  </si>
  <si>
    <t>IL0033ZZ</t>
  </si>
  <si>
    <t>RMI00173</t>
  </si>
  <si>
    <t>RVT00051</t>
  </si>
  <si>
    <t>VT0018ZZ</t>
  </si>
  <si>
    <t>RVT00047</t>
  </si>
  <si>
    <t>VCO00010</t>
  </si>
  <si>
    <t>CO0006ZZ</t>
  </si>
  <si>
    <t>RMO00394</t>
  </si>
  <si>
    <t>MO0570AG</t>
  </si>
  <si>
    <t>RPA00486</t>
  </si>
  <si>
    <t>PA0591ZZ</t>
  </si>
  <si>
    <t>RPA00461</t>
  </si>
  <si>
    <t>PA0477ZZ</t>
  </si>
  <si>
    <t>RPA00531</t>
  </si>
  <si>
    <t>PR4006ZZ</t>
  </si>
  <si>
    <t>RPA00530</t>
  </si>
  <si>
    <t>RIN00247</t>
  </si>
  <si>
    <t>IN0096ZZ</t>
  </si>
  <si>
    <t>RTN00049</t>
  </si>
  <si>
    <t>TN0004ZZ</t>
  </si>
  <si>
    <t>RFL00144</t>
  </si>
  <si>
    <t>FL0002AE</t>
  </si>
  <si>
    <t>RFL00164</t>
  </si>
  <si>
    <t>FL0089ZZ</t>
  </si>
  <si>
    <t>RSC00063</t>
  </si>
  <si>
    <t>SC0069AA</t>
  </si>
  <si>
    <t>RFL00160</t>
  </si>
  <si>
    <t>FL0095AC</t>
  </si>
  <si>
    <t>RMS00037</t>
  </si>
  <si>
    <t>MS0009AA</t>
  </si>
  <si>
    <t>RFL00146</t>
  </si>
  <si>
    <t>FL0017ZZ</t>
  </si>
  <si>
    <t>ROH00378</t>
  </si>
  <si>
    <t>OH0194ZZ</t>
  </si>
  <si>
    <t>RWA00398</t>
  </si>
  <si>
    <t>RFL00149</t>
  </si>
  <si>
    <t>RAL00059</t>
  </si>
  <si>
    <t>AL0043AC</t>
  </si>
  <si>
    <t>RKY00052</t>
  </si>
  <si>
    <t>KY0045ZZ</t>
  </si>
  <si>
    <t>RFL00159</t>
  </si>
  <si>
    <t>FL0025ZZ</t>
  </si>
  <si>
    <t>RAL00060</t>
  </si>
  <si>
    <t>AL0076AB</t>
  </si>
  <si>
    <t>RFL00150</t>
  </si>
  <si>
    <t>FL0067ZZ</t>
  </si>
  <si>
    <t>RDC01694</t>
  </si>
  <si>
    <t>RNV00059</t>
  </si>
  <si>
    <t>NV0014ZZ</t>
  </si>
  <si>
    <t>RGA00164</t>
  </si>
  <si>
    <t>GA0044ZZ</t>
  </si>
  <si>
    <t>RGA00163</t>
  </si>
  <si>
    <t>GA0005ZZ</t>
  </si>
  <si>
    <t>RNV00055</t>
  </si>
  <si>
    <t>RNV00057</t>
  </si>
  <si>
    <t>RFL00148</t>
  </si>
  <si>
    <t>RWA00397</t>
  </si>
  <si>
    <t>RNV00058</t>
  </si>
  <si>
    <t>RTX08077</t>
  </si>
  <si>
    <t>TX0101ZZ</t>
  </si>
  <si>
    <t>RWA00403</t>
  </si>
  <si>
    <t>WA0130OB</t>
  </si>
  <si>
    <t>RNV00053</t>
  </si>
  <si>
    <t>RTX00456</t>
  </si>
  <si>
    <t>RWA00402</t>
  </si>
  <si>
    <t>WA0124OB</t>
  </si>
  <si>
    <t>RWA00404</t>
  </si>
  <si>
    <t>WA0831KF</t>
  </si>
  <si>
    <t>VOR00014</t>
  </si>
  <si>
    <t>RIN00265</t>
  </si>
  <si>
    <t>IN0521JF</t>
  </si>
  <si>
    <t>RIN00267</t>
  </si>
  <si>
    <t>IN0530JF</t>
  </si>
  <si>
    <t>RIL00465</t>
  </si>
  <si>
    <t>IL0200ZZ</t>
  </si>
  <si>
    <t>RWA00384</t>
  </si>
  <si>
    <t>RWA00385</t>
  </si>
  <si>
    <t>RTX00553</t>
  </si>
  <si>
    <t>RTX00575</t>
  </si>
  <si>
    <t>RTX00558</t>
  </si>
  <si>
    <t>RWA00426</t>
  </si>
  <si>
    <t>WA0064ZZ</t>
  </si>
  <si>
    <t>RTX00499</t>
  </si>
  <si>
    <t>RTX00493</t>
  </si>
  <si>
    <t>TX0325JL</t>
  </si>
  <si>
    <t>RNY00418</t>
  </si>
  <si>
    <t>NY0369ZZ</t>
  </si>
  <si>
    <t>RTX00497</t>
  </si>
  <si>
    <t>TX0329JL</t>
  </si>
  <si>
    <t>RTX00494</t>
  </si>
  <si>
    <t>RTX00500</t>
  </si>
  <si>
    <t>TX0999ZZ</t>
  </si>
  <si>
    <t>RTX00496</t>
  </si>
  <si>
    <t>TX0328JL</t>
  </si>
  <si>
    <t>RTX00498</t>
  </si>
  <si>
    <t>RMI00272</t>
  </si>
  <si>
    <t>MI0072ZZ</t>
  </si>
  <si>
    <t>RTX00501</t>
  </si>
  <si>
    <t>RMA00236</t>
  </si>
  <si>
    <t>MA0051ZZ</t>
  </si>
  <si>
    <t>RVT00049</t>
  </si>
  <si>
    <t>VT0026ZZ</t>
  </si>
  <si>
    <t>RIL00554</t>
  </si>
  <si>
    <t>RID20717</t>
  </si>
  <si>
    <t>ID0560PB</t>
  </si>
  <si>
    <t>RMO00344</t>
  </si>
  <si>
    <t>MO0559AJ</t>
  </si>
  <si>
    <t>RIN00256</t>
  </si>
  <si>
    <t>RMN00228</t>
  </si>
  <si>
    <t>MN2607ZZ</t>
  </si>
  <si>
    <t>RMO19639</t>
  </si>
  <si>
    <t>MO0616AF</t>
  </si>
  <si>
    <t>VOH00027</t>
  </si>
  <si>
    <t>OH0189CN</t>
  </si>
  <si>
    <t>RFL00123</t>
  </si>
  <si>
    <t>VOH00013</t>
  </si>
  <si>
    <t>OH0192ZZ</t>
  </si>
  <si>
    <t>RIL00464</t>
  </si>
  <si>
    <t>IL0214ZZ</t>
  </si>
  <si>
    <t>RVT00048</t>
  </si>
  <si>
    <t>VT0057ZZ</t>
  </si>
  <si>
    <t>RME00043</t>
  </si>
  <si>
    <t>ME0068ZZ</t>
  </si>
  <si>
    <t>RMD00292</t>
  </si>
  <si>
    <t>MD0778AG</t>
  </si>
  <si>
    <t>RGA00155</t>
  </si>
  <si>
    <t>RMD00312</t>
  </si>
  <si>
    <t>MD0055ZZ</t>
  </si>
  <si>
    <t>RMN00220</t>
  </si>
  <si>
    <t>MN0087ZZ</t>
  </si>
  <si>
    <t>RMO00258</t>
  </si>
  <si>
    <t>MO0615AF</t>
  </si>
  <si>
    <t>RMO00335</t>
  </si>
  <si>
    <t>RMO00356</t>
  </si>
  <si>
    <t>MO0050ZZ</t>
  </si>
  <si>
    <t>RFL00182</t>
  </si>
  <si>
    <t>FL0009ZZ</t>
  </si>
  <si>
    <t>RMI00341</t>
  </si>
  <si>
    <t>VIL00048</t>
  </si>
  <si>
    <t>IL0236FC</t>
  </si>
  <si>
    <t>RMO00354</t>
  </si>
  <si>
    <t>RMO00333</t>
  </si>
  <si>
    <t>MO0607AF</t>
  </si>
  <si>
    <t>RNC00054</t>
  </si>
  <si>
    <t>RCA00655</t>
  </si>
  <si>
    <t>CA0269JJ</t>
  </si>
  <si>
    <t>RCT00083</t>
  </si>
  <si>
    <t>CT0053ZZ</t>
  </si>
  <si>
    <t>RIN00253</t>
  </si>
  <si>
    <t>IN0057ZZ</t>
  </si>
  <si>
    <t>VMI00007</t>
  </si>
  <si>
    <t>MI0131MC</t>
  </si>
  <si>
    <t>RMN00225</t>
  </si>
  <si>
    <t>RVA00262</t>
  </si>
  <si>
    <t>VA0095ZZ</t>
  </si>
  <si>
    <t>RIL00507</t>
  </si>
  <si>
    <t>IL0069ES</t>
  </si>
  <si>
    <t>RIL00508</t>
  </si>
  <si>
    <t>RIL00553</t>
  </si>
  <si>
    <t>RSC00070</t>
  </si>
  <si>
    <t>SC0012AC</t>
  </si>
  <si>
    <t>RMA00237</t>
  </si>
  <si>
    <t>MA0158ZZ</t>
  </si>
  <si>
    <t>MN0086TC</t>
  </si>
  <si>
    <t>RMA00240</t>
  </si>
  <si>
    <t>MA0129ZZ</t>
  </si>
  <si>
    <t>RGA00188</t>
  </si>
  <si>
    <t>RNC00060</t>
  </si>
  <si>
    <t>RCA00652</t>
  </si>
  <si>
    <t>CA0761KK</t>
  </si>
  <si>
    <t>VMN00010</t>
  </si>
  <si>
    <t>RPA00492</t>
  </si>
  <si>
    <t>PA0599NC</t>
  </si>
  <si>
    <t>RMO19635</t>
  </si>
  <si>
    <t>RMO00331</t>
  </si>
  <si>
    <t>RIN00273</t>
  </si>
  <si>
    <t>IN0048ZZ</t>
  </si>
  <si>
    <t>RSD00033</t>
  </si>
  <si>
    <t>SD0040ZZ</t>
  </si>
  <si>
    <t>RMO00332</t>
  </si>
  <si>
    <t>MO0606AF</t>
  </si>
  <si>
    <t>RKY00055</t>
  </si>
  <si>
    <t>RMO19645</t>
  </si>
  <si>
    <t>ROH00432</t>
  </si>
  <si>
    <t>OH0514DD</t>
  </si>
  <si>
    <t>RMO00349</t>
  </si>
  <si>
    <t>MO0604AF</t>
  </si>
  <si>
    <t>RNV00064</t>
  </si>
  <si>
    <t>RMO00330</t>
  </si>
  <si>
    <t>MO0601AF</t>
  </si>
  <si>
    <t>RIA00072</t>
  </si>
  <si>
    <t>IA0119ZZ</t>
  </si>
  <si>
    <t>RWI00046</t>
  </si>
  <si>
    <t>WI0044ZZ</t>
  </si>
  <si>
    <t>RFL00145</t>
  </si>
  <si>
    <t>RNH00020</t>
  </si>
  <si>
    <t>NH0037ZZ</t>
  </si>
  <si>
    <t>ROH00431</t>
  </si>
  <si>
    <t>OH0208CL</t>
  </si>
  <si>
    <t>RIL00442</t>
  </si>
  <si>
    <t>IL0231ZZ</t>
  </si>
  <si>
    <t>RMO00261</t>
  </si>
  <si>
    <t>MO0625AF</t>
  </si>
  <si>
    <t>ROH00433</t>
  </si>
  <si>
    <t>RMI00325</t>
  </si>
  <si>
    <t>MI0501BC</t>
  </si>
  <si>
    <t>RPA00451</t>
  </si>
  <si>
    <t>PA0182NC</t>
  </si>
  <si>
    <t>RPR00033</t>
  </si>
  <si>
    <t>PR0003ZZ</t>
  </si>
  <si>
    <t>VOH00023</t>
  </si>
  <si>
    <t>RMO00345</t>
  </si>
  <si>
    <t>MO0562AJ</t>
  </si>
  <si>
    <t>RAL00067</t>
  </si>
  <si>
    <t>AL0028ZZ</t>
  </si>
  <si>
    <t>RSC00071</t>
  </si>
  <si>
    <t>RMO00288</t>
  </si>
  <si>
    <t>MO0622AF</t>
  </si>
  <si>
    <t>RMO00328</t>
  </si>
  <si>
    <t>MO0612AF</t>
  </si>
  <si>
    <t>VIL00033</t>
  </si>
  <si>
    <t>IL0235FC</t>
  </si>
  <si>
    <t>VMA00011</t>
  </si>
  <si>
    <t>MA0153ZZ</t>
  </si>
  <si>
    <t>RCO00312</t>
  </si>
  <si>
    <t>CO0651AA</t>
  </si>
  <si>
    <t>RMI00138</t>
  </si>
  <si>
    <t>RGA00190</t>
  </si>
  <si>
    <t>RKS00046</t>
  </si>
  <si>
    <t>RGA00116</t>
  </si>
  <si>
    <t>RMD00394</t>
  </si>
  <si>
    <t>MD0531AJ</t>
  </si>
  <si>
    <t>RTX00584</t>
  </si>
  <si>
    <t>RMO00327</t>
  </si>
  <si>
    <t>MO0602AF</t>
  </si>
  <si>
    <t>RVA00263</t>
  </si>
  <si>
    <t>RGA00187</t>
  </si>
  <si>
    <t>RMO19638</t>
  </si>
  <si>
    <t>RMD00313</t>
  </si>
  <si>
    <t>MD1440ZZ</t>
  </si>
  <si>
    <t>RIN00271</t>
  </si>
  <si>
    <t>RMO00337</t>
  </si>
  <si>
    <t>RPA00491</t>
  </si>
  <si>
    <t>RFL00162</t>
  </si>
  <si>
    <t>FL1021ZZ</t>
  </si>
  <si>
    <t>RNE00057</t>
  </si>
  <si>
    <t>MI3044ZZ</t>
  </si>
  <si>
    <t>RMO00259</t>
  </si>
  <si>
    <t>MO0623AF</t>
  </si>
  <si>
    <t>RMO00348</t>
  </si>
  <si>
    <t>MO0603AF</t>
  </si>
  <si>
    <t>RMO00340</t>
  </si>
  <si>
    <t>RMO00338</t>
  </si>
  <si>
    <t>RPA00493</t>
  </si>
  <si>
    <t>PA0267ZZ</t>
  </si>
  <si>
    <t>RCA00526</t>
  </si>
  <si>
    <t>CA0510WW</t>
  </si>
  <si>
    <t>RTX00585</t>
  </si>
  <si>
    <t>RMO00334</t>
  </si>
  <si>
    <t>RCA00661</t>
  </si>
  <si>
    <t>CA0260ZZ</t>
  </si>
  <si>
    <t>RPR00038</t>
  </si>
  <si>
    <t>RAR00044</t>
  </si>
  <si>
    <t>AR0079ZZ</t>
  </si>
  <si>
    <t>RAR00043</t>
  </si>
  <si>
    <t>RIA00074</t>
  </si>
  <si>
    <t>RMO00376</t>
  </si>
  <si>
    <t>MO0127ZZ</t>
  </si>
  <si>
    <t>VCO00041</t>
  </si>
  <si>
    <t>CO0018ZZ</t>
  </si>
  <si>
    <t>RIA00110</t>
  </si>
  <si>
    <t>IA0112ZZ</t>
  </si>
  <si>
    <t>RIA00089</t>
  </si>
  <si>
    <t>RNE00047</t>
  </si>
  <si>
    <t>MI3050ZZ</t>
  </si>
  <si>
    <t>RKS00045</t>
  </si>
  <si>
    <t>RNV00076</t>
  </si>
  <si>
    <t>NV0013ZZ</t>
  </si>
  <si>
    <t>RNV00078</t>
  </si>
  <si>
    <t>RNV00074</t>
  </si>
  <si>
    <t>RFL00133</t>
  </si>
  <si>
    <t>RPR00032</t>
  </si>
  <si>
    <t>PR0017ZZ</t>
  </si>
  <si>
    <t>RNV00054</t>
  </si>
  <si>
    <t>RNJ00170</t>
  </si>
  <si>
    <t>RAZ00097</t>
  </si>
  <si>
    <t>AZ0551BB</t>
  </si>
  <si>
    <t>RDC01499</t>
  </si>
  <si>
    <t>DC0001ZZ</t>
  </si>
  <si>
    <t>RAZ00094</t>
  </si>
  <si>
    <t>AZ0015ZZ</t>
  </si>
  <si>
    <t>RKS00048</t>
  </si>
  <si>
    <t>RVA00235</t>
  </si>
  <si>
    <t>VA0321ZZ</t>
  </si>
  <si>
    <t>RSC00055</t>
  </si>
  <si>
    <t>RCA00654</t>
  </si>
  <si>
    <t>CA0588GG</t>
  </si>
  <si>
    <t>RFL00163</t>
  </si>
  <si>
    <t>RGA00154</t>
  </si>
  <si>
    <t>GA0077AC</t>
  </si>
  <si>
    <t>RAL00040</t>
  </si>
  <si>
    <t>RCA00659</t>
  </si>
  <si>
    <t>CA0305ZZ</t>
  </si>
  <si>
    <t>RDC01576</t>
  </si>
  <si>
    <t>DC1400NA</t>
  </si>
  <si>
    <t>RCA00656</t>
  </si>
  <si>
    <t>CA0168ZZ</t>
  </si>
  <si>
    <t>RTX00624</t>
  </si>
  <si>
    <t>TX0247ZZ</t>
  </si>
  <si>
    <t>RDC01589</t>
  </si>
  <si>
    <t>DC0005ZZ</t>
  </si>
  <si>
    <t>RMD00378</t>
  </si>
  <si>
    <t>MD0781AG</t>
  </si>
  <si>
    <t>RMD00380</t>
  </si>
  <si>
    <t>MD0070AG</t>
  </si>
  <si>
    <t>RKY00039</t>
  </si>
  <si>
    <t>RTN00055</t>
  </si>
  <si>
    <t>TN0052AA</t>
  </si>
  <si>
    <t>RCA00657</t>
  </si>
  <si>
    <t>CA0091AA</t>
  </si>
  <si>
    <t>RFL00161</t>
  </si>
  <si>
    <t>RTN00056</t>
  </si>
  <si>
    <t>TN0111AA</t>
  </si>
  <si>
    <t>RDC01509</t>
  </si>
  <si>
    <t>DC0112ZZ</t>
  </si>
  <si>
    <t>RDC01556</t>
  </si>
  <si>
    <t>DC0458ZZ</t>
  </si>
  <si>
    <t>RDC01507</t>
  </si>
  <si>
    <t>DC0105ZZ</t>
  </si>
  <si>
    <t>RMD00382</t>
  </si>
  <si>
    <t>MD0232ZZ</t>
  </si>
  <si>
    <t>RDC01508</t>
  </si>
  <si>
    <t>DC0111ZZ</t>
  </si>
  <si>
    <t>RDC01588</t>
  </si>
  <si>
    <t>DC0003ZZ</t>
  </si>
  <si>
    <t>RAZ00093</t>
  </si>
  <si>
    <t>AZ0303ZZ</t>
  </si>
  <si>
    <t>RDC01515</t>
  </si>
  <si>
    <t>DC0573PB</t>
  </si>
  <si>
    <t>RDC01551</t>
  </si>
  <si>
    <t>DC0469ZZ</t>
  </si>
  <si>
    <t>RDC01503</t>
  </si>
  <si>
    <t>DC0078ZZ</t>
  </si>
  <si>
    <t>RCA00660</t>
  </si>
  <si>
    <t>RAZ00095</t>
  </si>
  <si>
    <t>AZ0058ZZ</t>
  </si>
  <si>
    <t>RAZ00096</t>
  </si>
  <si>
    <t>AZ0307ZZ</t>
  </si>
  <si>
    <t>RDC01510</t>
  </si>
  <si>
    <t>DC0113ZZ</t>
  </si>
  <si>
    <t>RTN00057</t>
  </si>
  <si>
    <t>TN0112AA</t>
  </si>
  <si>
    <t>RVA00242</t>
  </si>
  <si>
    <t>VA0508AN</t>
  </si>
  <si>
    <t>RNV00065</t>
  </si>
  <si>
    <t>RDC01557</t>
  </si>
  <si>
    <t>DC0029ZZ</t>
  </si>
  <si>
    <t>RAZ00098</t>
  </si>
  <si>
    <t>AZ0555BB</t>
  </si>
  <si>
    <t>RDC01512</t>
  </si>
  <si>
    <t>DC0313ZZ</t>
  </si>
  <si>
    <t>RTX00625</t>
  </si>
  <si>
    <t>RMS00036</t>
  </si>
  <si>
    <t>MS0006AA</t>
  </si>
  <si>
    <t>RNV00063</t>
  </si>
  <si>
    <t>NV0012ZZ</t>
  </si>
  <si>
    <t>RAL00046</t>
  </si>
  <si>
    <t>RDC01511</t>
  </si>
  <si>
    <t>DC0117AA</t>
  </si>
  <si>
    <t>RNV00081</t>
  </si>
  <si>
    <t>IL2125ZZ</t>
  </si>
  <si>
    <t>RMI00342</t>
  </si>
  <si>
    <t>MI0724SB</t>
  </si>
  <si>
    <t>RTX00564</t>
  </si>
  <si>
    <t>VMS00002</t>
  </si>
  <si>
    <t>MS0083ZZ</t>
  </si>
  <si>
    <t>DC0031ZZ</t>
  </si>
  <si>
    <t>RMO00339</t>
  </si>
  <si>
    <t>RNV00085</t>
  </si>
  <si>
    <t>RNV00086</t>
  </si>
  <si>
    <t>RNV00088</t>
  </si>
  <si>
    <t>RTX00803</t>
  </si>
  <si>
    <t>TX2801ZZ</t>
  </si>
  <si>
    <t>RAL00068</t>
  </si>
  <si>
    <t>RTX00581</t>
  </si>
  <si>
    <t>RTX00577</t>
  </si>
  <si>
    <t>RTX00573</t>
  </si>
  <si>
    <t>RTX00556</t>
  </si>
  <si>
    <t>RTX00559</t>
  </si>
  <si>
    <t>RIL00649</t>
  </si>
  <si>
    <t>VIL00040</t>
  </si>
  <si>
    <t>RWV00204</t>
  </si>
  <si>
    <t>WV0054FP</t>
  </si>
  <si>
    <t>RPA00490</t>
  </si>
  <si>
    <t>RDC01859</t>
  </si>
  <si>
    <t>DC0207ZZ</t>
  </si>
  <si>
    <t>ROR00140</t>
  </si>
  <si>
    <t>RDC01912</t>
  </si>
  <si>
    <t>RIA00120</t>
  </si>
  <si>
    <t>RVA00170</t>
  </si>
  <si>
    <t>VA0062ZZ</t>
  </si>
  <si>
    <t>RAZ00056</t>
  </si>
  <si>
    <t>AZ0052ZZ</t>
  </si>
  <si>
    <t>RCA00523</t>
  </si>
  <si>
    <t>RTX00435</t>
  </si>
  <si>
    <t>TX0284DA</t>
  </si>
  <si>
    <t>RTX00432</t>
  </si>
  <si>
    <t>RTX00433</t>
  </si>
  <si>
    <t>RCA00524</t>
  </si>
  <si>
    <t>RTX00431</t>
  </si>
  <si>
    <t>TX0012ZZ</t>
  </si>
  <si>
    <t>RMN00197</t>
  </si>
  <si>
    <t>MN0090TC</t>
  </si>
  <si>
    <t>RPA00468</t>
  </si>
  <si>
    <t>RPA00450</t>
  </si>
  <si>
    <t>RIN00249</t>
  </si>
  <si>
    <t>IN0529JF</t>
  </si>
  <si>
    <t>RNY00356</t>
  </si>
  <si>
    <t>NY0311ZZ</t>
  </si>
  <si>
    <t>RCO00265</t>
  </si>
  <si>
    <t>CO0512AA</t>
  </si>
  <si>
    <t>RCO00263</t>
  </si>
  <si>
    <t>CO0576AA</t>
  </si>
  <si>
    <t>RCO00266</t>
  </si>
  <si>
    <t>CO0625AA</t>
  </si>
  <si>
    <t>RTX00434</t>
  </si>
  <si>
    <t>RCA00519</t>
  </si>
  <si>
    <t>RCA00521</t>
  </si>
  <si>
    <t>RCA00520</t>
  </si>
  <si>
    <t>RCA00522</t>
  </si>
  <si>
    <t>RMN00188</t>
  </si>
  <si>
    <t>MN0076ZZ</t>
  </si>
  <si>
    <t>RMN00153</t>
  </si>
  <si>
    <t>MN0021ZZ</t>
  </si>
  <si>
    <t>RMO00355</t>
  </si>
  <si>
    <t>RTX00583</t>
  </si>
  <si>
    <t>RIN00266</t>
  </si>
  <si>
    <t>IN0522JF</t>
  </si>
  <si>
    <t>RTX00586</t>
  </si>
  <si>
    <t>RND00056</t>
  </si>
  <si>
    <t>ND0545AO</t>
  </si>
  <si>
    <t>ROK00096</t>
  </si>
  <si>
    <t>RTX00582</t>
  </si>
  <si>
    <t>RCO00320</t>
  </si>
  <si>
    <t>CO0516AA</t>
  </si>
  <si>
    <t>RAK00099</t>
  </si>
  <si>
    <t>AK0508AH</t>
  </si>
  <si>
    <t>RID00027</t>
  </si>
  <si>
    <t>ID0030ZZ</t>
  </si>
  <si>
    <t>RAK00098</t>
  </si>
  <si>
    <t>AK0507AH</t>
  </si>
  <si>
    <t>RAK00100</t>
  </si>
  <si>
    <t>AK0513AH</t>
  </si>
  <si>
    <t>VFL00008</t>
  </si>
  <si>
    <t>FL0082ZZ</t>
  </si>
  <si>
    <t>VOR00009</t>
  </si>
  <si>
    <t>OR0033PE</t>
  </si>
  <si>
    <t>AK0005AKRAK00091</t>
  </si>
  <si>
    <t>AK0506AHRAK00089</t>
  </si>
  <si>
    <t>AK0506AHRAK00097</t>
  </si>
  <si>
    <t>AK0507AHRAK00098</t>
  </si>
  <si>
    <t>AK0508AHRAK00099</t>
  </si>
  <si>
    <t>AK0513AHRAK00100</t>
  </si>
  <si>
    <t>AL0028ZZRAL00067</t>
  </si>
  <si>
    <t>AL0028ZZRAL00068</t>
  </si>
  <si>
    <t>AL0043ACRAL00040</t>
  </si>
  <si>
    <t>AL0043ACRAL00059</t>
  </si>
  <si>
    <t>AL0076ABRAL00046</t>
  </si>
  <si>
    <t>AL0076ABRAL00060</t>
  </si>
  <si>
    <t>AR0021ZZRAR00057</t>
  </si>
  <si>
    <t>AR0057ZZRAR00062</t>
  </si>
  <si>
    <t>AR0062ZZRAR00060</t>
  </si>
  <si>
    <t>AR0066ZZRAR00059</t>
  </si>
  <si>
    <t>AR0078ZZRAR00058</t>
  </si>
  <si>
    <t>AR0079ZZRAR00043</t>
  </si>
  <si>
    <t>AR0079ZZRAR00044</t>
  </si>
  <si>
    <t>AX0000AXY00APPTR</t>
  </si>
  <si>
    <t>AZ0015ZZRAZ00094</t>
  </si>
  <si>
    <t>AZ0052ZZRAZ00056</t>
  </si>
  <si>
    <t>AZ0058ZZRAZ00095</t>
  </si>
  <si>
    <t>AZ0303ZZRAZ00093</t>
  </si>
  <si>
    <t>AZ0307ZZRAZ00096</t>
  </si>
  <si>
    <t>AZ0551BBRAZ00097</t>
  </si>
  <si>
    <t>AZ0555BBRAZ00098</t>
  </si>
  <si>
    <t>CA0088ZZRCA00658</t>
  </si>
  <si>
    <t>CA0091AARCA00657</t>
  </si>
  <si>
    <t>CA0096DDRCA00642</t>
  </si>
  <si>
    <t>CA0096DDRCA00660</t>
  </si>
  <si>
    <t>CA0149ZZRCA00653</t>
  </si>
  <si>
    <t>CA0168ZZRCA00519</t>
  </si>
  <si>
    <t>CA0168ZZRCA00520</t>
  </si>
  <si>
    <t>CA0168ZZRCA00521</t>
  </si>
  <si>
    <t>CA0168ZZRCA00522</t>
  </si>
  <si>
    <t>CA0168ZZRCA00523</t>
  </si>
  <si>
    <t>CA0168ZZRCA00524</t>
  </si>
  <si>
    <t>CA0168ZZRCA00656</t>
  </si>
  <si>
    <t>CA0260ZZRCA00661</t>
  </si>
  <si>
    <t>CA0269JJRCA00655</t>
  </si>
  <si>
    <t>CA0305ZZRCA00659</t>
  </si>
  <si>
    <t>CA0510WWRCA00526</t>
  </si>
  <si>
    <t>CA0588GGRCA00654</t>
  </si>
  <si>
    <t>CA0761KKRCA00652</t>
  </si>
  <si>
    <t>CO0006ZZVCO00010</t>
  </si>
  <si>
    <t>CO0018ZZVCO00041</t>
  </si>
  <si>
    <t>CO0512AARCO00265</t>
  </si>
  <si>
    <t>CO0514AARCO00322</t>
  </si>
  <si>
    <t>CO0515AARCO00321</t>
  </si>
  <si>
    <t>CO0516AARCO00320</t>
  </si>
  <si>
    <t>CO0519AARCO00323</t>
  </si>
  <si>
    <t>CO0527AARCO00310</t>
  </si>
  <si>
    <t>CO0531AARCO00326</t>
  </si>
  <si>
    <t>CO0532AARCO00311</t>
  </si>
  <si>
    <t>CO0533AARCO00264</t>
  </si>
  <si>
    <t>CO0576AARCO00263</t>
  </si>
  <si>
    <t>CO0624AARCO00313</t>
  </si>
  <si>
    <t>CO0625AARCO00266</t>
  </si>
  <si>
    <t>CO0651AARCO00312</t>
  </si>
  <si>
    <t>CO0654AARCO00324</t>
  </si>
  <si>
    <t>CO0657AARCO00325</t>
  </si>
  <si>
    <t>CT0053ZZRCT00083</t>
  </si>
  <si>
    <t>DC0001ZZRDC01499</t>
  </si>
  <si>
    <t>DC0003ZZRDC01588</t>
  </si>
  <si>
    <t>DC0005ZZRDC01589</t>
  </si>
  <si>
    <t>DC0021ZZRDC01694</t>
  </si>
  <si>
    <t>DC0021ZZVDC00032</t>
  </si>
  <si>
    <t>DC0029ZZRDC01557</t>
  </si>
  <si>
    <t>DC0031ZZRDC01912</t>
  </si>
  <si>
    <t>DC0078ZZRDC01503</t>
  </si>
  <si>
    <t>DC0093ZZRDC01575</t>
  </si>
  <si>
    <t>DC0105ZZRDC01507</t>
  </si>
  <si>
    <t>DC0111ZZRDC01508</t>
  </si>
  <si>
    <t>DC0112ZZRDC01509</t>
  </si>
  <si>
    <t>DC0113ZZRDC01510</t>
  </si>
  <si>
    <t>DC0117AARDC01511</t>
  </si>
  <si>
    <t>DC0207ZZRDC01859</t>
  </si>
  <si>
    <t>DC0313ZZRDC01512</t>
  </si>
  <si>
    <t>DC0458ZZRDC01556</t>
  </si>
  <si>
    <t>DC0469ZZRDC01551</t>
  </si>
  <si>
    <t>DC0573PBRDC01515</t>
  </si>
  <si>
    <t>DC1400NARDC01576</t>
  </si>
  <si>
    <t>FL0002AERFL00123</t>
  </si>
  <si>
    <t>FL0002AERFL00144</t>
  </si>
  <si>
    <t>FL0009ZZRFL00145</t>
  </si>
  <si>
    <t>FL0009ZZRFL00182</t>
  </si>
  <si>
    <t>FL0010ZZRFL00114</t>
  </si>
  <si>
    <t>FL0010ZZRFL00163</t>
  </si>
  <si>
    <t>FL0017ZZRFL00146</t>
  </si>
  <si>
    <t>FL0025ZZRFL00159</t>
  </si>
  <si>
    <t>FL0064AERFL00124</t>
  </si>
  <si>
    <t>FL0064AERFL00148</t>
  </si>
  <si>
    <t>FL0065ZZRFL00122</t>
  </si>
  <si>
    <t>FL0065ZZRFL00149</t>
  </si>
  <si>
    <t>FL0067ZZRFL00150</t>
  </si>
  <si>
    <t>FL0082ZZVFL00008</t>
  </si>
  <si>
    <t>FL0089ZZRFL00164</t>
  </si>
  <si>
    <t>FL0095ACRFL00133</t>
  </si>
  <si>
    <t>FL0095ACRFL00160</t>
  </si>
  <si>
    <t>FL1021ZZRFL00161</t>
  </si>
  <si>
    <t>FL1021ZZRFL00162</t>
  </si>
  <si>
    <t>GA0005ZZRGA00116</t>
  </si>
  <si>
    <t>GA0005ZZRGA00163</t>
  </si>
  <si>
    <t>GA0005ZZRGA00190</t>
  </si>
  <si>
    <t>GA0044ZZRGA00155</t>
  </si>
  <si>
    <t>GA0044ZZRGA00164</t>
  </si>
  <si>
    <t>GA0077ACRGA00154</t>
  </si>
  <si>
    <t>GA0103ZZRGA00114</t>
  </si>
  <si>
    <t>GA0103ZZRGA00187</t>
  </si>
  <si>
    <t>GA0103ZZRGA00188</t>
  </si>
  <si>
    <t>HI0011ZZVHI00006</t>
  </si>
  <si>
    <t>IA0112ZZRIA00110</t>
  </si>
  <si>
    <t>IA0119ZZRIA00072</t>
  </si>
  <si>
    <t>IA0119ZZRIA00074</t>
  </si>
  <si>
    <t>IA0119ZZRIA00089</t>
  </si>
  <si>
    <t>IA0119ZZRIA00120</t>
  </si>
  <si>
    <t>ID0030ZZRID00027</t>
  </si>
  <si>
    <t>ID0560PBRID20717</t>
  </si>
  <si>
    <t>IL0033ZZRIL02578</t>
  </si>
  <si>
    <t>IL0059ZZRIL00463</t>
  </si>
  <si>
    <t>IL0069ESRIL00507</t>
  </si>
  <si>
    <t>IL0154ZZRIL00466</t>
  </si>
  <si>
    <t>IL0154ZZRIL00508</t>
  </si>
  <si>
    <t>IL0200ZZRIL00465</t>
  </si>
  <si>
    <t>IL0200ZZRIL00554</t>
  </si>
  <si>
    <t>IL0205ZZRIL00506</t>
  </si>
  <si>
    <t>IL0209CFRIL00443</t>
  </si>
  <si>
    <t>IL0209CFRIL00649</t>
  </si>
  <si>
    <t>IL0214ZZRIL00464</t>
  </si>
  <si>
    <t>IL0214ZZRIL00553</t>
  </si>
  <si>
    <t>IL0222ZZRIL00054</t>
  </si>
  <si>
    <t>IL0231ZZRIL00442</t>
  </si>
  <si>
    <t>IL0235FCVIL00033</t>
  </si>
  <si>
    <t>IL0236FCVIL00048</t>
  </si>
  <si>
    <t>IL2125ZZVIL00040</t>
  </si>
  <si>
    <t>IN0031ZZRIN00252</t>
  </si>
  <si>
    <t>IN0031ZZRIN00271</t>
  </si>
  <si>
    <t>IN0048ZZRIN00273</t>
  </si>
  <si>
    <t>IN0057ZZRIN00253</t>
  </si>
  <si>
    <t>IN0096ZZRIN00247</t>
  </si>
  <si>
    <t>IN0096ZZRIN00256</t>
  </si>
  <si>
    <t>IN0521JFRIN00265</t>
  </si>
  <si>
    <t>IN0522JFRIN00266</t>
  </si>
  <si>
    <t>IN0529JFRIN00249</t>
  </si>
  <si>
    <t>IN0530JFRIN00267</t>
  </si>
  <si>
    <t>IN0531JFRIN00268</t>
  </si>
  <si>
    <t>KS0092ZZRKS00044</t>
  </si>
  <si>
    <t>KS0092ZZRKS00045</t>
  </si>
  <si>
    <t>KS0092ZZRKS00046</t>
  </si>
  <si>
    <t>KS0092ZZRKS00048</t>
  </si>
  <si>
    <t>KY0008ABRKY00039</t>
  </si>
  <si>
    <t>KY0008ABRKY00051</t>
  </si>
  <si>
    <t>KY0045ZZRKY00052</t>
  </si>
  <si>
    <t>KY0088ZZRKY00034</t>
  </si>
  <si>
    <t>KY0088ZZRKY00055</t>
  </si>
  <si>
    <t>LA0029ZZRLA00102</t>
  </si>
  <si>
    <t>MA0051ZZRMA00236</t>
  </si>
  <si>
    <t>MA0129ZZRMA00240</t>
  </si>
  <si>
    <t>MA0153ZZVMA00011</t>
  </si>
  <si>
    <t>MA0158ZZRMA00237</t>
  </si>
  <si>
    <t>MD0055ZZRMD00312</t>
  </si>
  <si>
    <t>MD0070AGRMD00380</t>
  </si>
  <si>
    <t>MD0232ZZRMD00382</t>
  </si>
  <si>
    <t>MD0531AJRMD00394</t>
  </si>
  <si>
    <t>MD0778AGRMD00292</t>
  </si>
  <si>
    <t>MD0781AGRMD00378</t>
  </si>
  <si>
    <t>MD1440ZZRMD00313</t>
  </si>
  <si>
    <t>ME0068ZZRME00043</t>
  </si>
  <si>
    <t>ME0823BJRME00033</t>
  </si>
  <si>
    <t>MI0048ZZRMI00095</t>
  </si>
  <si>
    <t>MI0048ZZRMI00173</t>
  </si>
  <si>
    <t>MI0072ZZRMI00272</t>
  </si>
  <si>
    <t>MI0072ZZRMI00341</t>
  </si>
  <si>
    <t>MI0131MCVMI00007</t>
  </si>
  <si>
    <t>MI0501BCRMI00138</t>
  </si>
  <si>
    <t>MI0501BCRMI00325</t>
  </si>
  <si>
    <t>MI0507BCRMI00275</t>
  </si>
  <si>
    <t>MI0724SBRMI00342</t>
  </si>
  <si>
    <t>MI3044ZZVMI00007</t>
  </si>
  <si>
    <t>MI3050ZZVMI00007</t>
  </si>
  <si>
    <t>MN0015ZZRMN00193</t>
  </si>
  <si>
    <t>MN0015ZZRMN00225</t>
  </si>
  <si>
    <t>MN0021ZZRMN00153</t>
  </si>
  <si>
    <t>MN0036ZZRMN00158</t>
  </si>
  <si>
    <t>MN0036ZZRMN00187</t>
  </si>
  <si>
    <t>MN0076ZZRMN00188</t>
  </si>
  <si>
    <t>MN0086TCRMN00228</t>
  </si>
  <si>
    <t>MN0086TCVMN00010</t>
  </si>
  <si>
    <t>MN0087ZZRMN00220</t>
  </si>
  <si>
    <t>MN0090TCRMN00197</t>
  </si>
  <si>
    <t>MN2607ZZRMN00228</t>
  </si>
  <si>
    <t>MO0050ZZRMO00356</t>
  </si>
  <si>
    <t>MO0121ZZRMO00353</t>
  </si>
  <si>
    <t>MO0121ZZRMO00354</t>
  </si>
  <si>
    <t>MO0121ZZRMO00355</t>
  </si>
  <si>
    <t>MO0127ZZRMO00376</t>
  </si>
  <si>
    <t>MO0559AJRMO00344</t>
  </si>
  <si>
    <t>MO0562AJRMO00345</t>
  </si>
  <si>
    <t>MO0570AGRMO00394</t>
  </si>
  <si>
    <t>MO0601AFRMO00330</t>
  </si>
  <si>
    <t>MO0602AFRMO00327</t>
  </si>
  <si>
    <t>MO0603AFRMO00348</t>
  </si>
  <si>
    <t>MO0604AFRMO00349</t>
  </si>
  <si>
    <t>MO0605AFRMO00253</t>
  </si>
  <si>
    <t>MO0605AFRMO00331</t>
  </si>
  <si>
    <t>MO0605AFRMO19635</t>
  </si>
  <si>
    <t>MO0606AFRMO00332</t>
  </si>
  <si>
    <t>MO0607AFRMO00333</t>
  </si>
  <si>
    <t>MO0608AFRMO00255</t>
  </si>
  <si>
    <t>MO0608AFRMO00334</t>
  </si>
  <si>
    <t>MO0608AFRMO19638</t>
  </si>
  <si>
    <t>MO0611AFRMO00256</t>
  </si>
  <si>
    <t>MO0611AFRMO00337</t>
  </si>
  <si>
    <t>MO0612AFRMO00328</t>
  </si>
  <si>
    <t>MO0613AFRMO00302</t>
  </si>
  <si>
    <t>MO0613AFRMO00338</t>
  </si>
  <si>
    <t>MO0614AFRMO00257</t>
  </si>
  <si>
    <t>MO0614AFRMO00339</t>
  </si>
  <si>
    <t>MO0615AFRMO00258</t>
  </si>
  <si>
    <t>MO0615AFRMO00340</t>
  </si>
  <si>
    <t>MO0615AFRMO19645</t>
  </si>
  <si>
    <t>MO0616AFRMO00335</t>
  </si>
  <si>
    <t>MO0616AFRMO19639</t>
  </si>
  <si>
    <t>MO0620AFRMO00260</t>
  </si>
  <si>
    <t>MO0622AFRMO00288</t>
  </si>
  <si>
    <t>MO0623AFRMO00259</t>
  </si>
  <si>
    <t>MO0625AFRMO00261</t>
  </si>
  <si>
    <t>MO0626AFRMO00303</t>
  </si>
  <si>
    <t>MS0006AARMS00036</t>
  </si>
  <si>
    <t>MS0009AARMS00037</t>
  </si>
  <si>
    <t>MS0083ZZVMS00002</t>
  </si>
  <si>
    <t>NC0058ZZRNC00058</t>
  </si>
  <si>
    <t>NC0058ZZRNC00060</t>
  </si>
  <si>
    <t>NC0113ZZRNC00054</t>
  </si>
  <si>
    <t>NC0113ZZRNC00059</t>
  </si>
  <si>
    <t>ND0545AORND00056</t>
  </si>
  <si>
    <t>NE0018ZZRNE00045</t>
  </si>
  <si>
    <t>NE0018ZZRNE00047</t>
  </si>
  <si>
    <t>NE0018ZZRNE00057</t>
  </si>
  <si>
    <t>NH0037ZZRNH00020</t>
  </si>
  <si>
    <t>NJ0015ZZRNJ00159</t>
  </si>
  <si>
    <t>NJ0056ZZRNJ00152</t>
  </si>
  <si>
    <t>NJ0088ZZRNJ00160</t>
  </si>
  <si>
    <t>NJ0108ZZRNJ00170</t>
  </si>
  <si>
    <t>NJ0108ZZVNJ00005</t>
  </si>
  <si>
    <t>NJ5002ZZRNJ00161</t>
  </si>
  <si>
    <t>NJ5003ZZRNJ00158</t>
  </si>
  <si>
    <t>NM0502AQRNM00061</t>
  </si>
  <si>
    <t>NV0012ZZRNV00063</t>
  </si>
  <si>
    <t>NV0013ZZRNV00074</t>
  </si>
  <si>
    <t>NV0013ZZRNV00076</t>
  </si>
  <si>
    <t>NV0013ZZRNV00078</t>
  </si>
  <si>
    <t>NV0013ZZRNV00081</t>
  </si>
  <si>
    <t>NV0013ZZRNV00085</t>
  </si>
  <si>
    <t>NV0013ZZRNV00086</t>
  </si>
  <si>
    <t>NV0013ZZRNV00088</t>
  </si>
  <si>
    <t>NV0014ZZRNV00053</t>
  </si>
  <si>
    <t>NV0014ZZRNV00054</t>
  </si>
  <si>
    <t>NV0014ZZRNV00055</t>
  </si>
  <si>
    <t>NV0014ZZRNV00057</t>
  </si>
  <si>
    <t>NV0014ZZRNV00058</t>
  </si>
  <si>
    <t>NV0014ZZRNV00059</t>
  </si>
  <si>
    <t>NV0014ZZRNV00065</t>
  </si>
  <si>
    <t>NV0294ZZRNV00045</t>
  </si>
  <si>
    <t>NV0294ZZRNV00048</t>
  </si>
  <si>
    <t>NV0294ZZRNV00049</t>
  </si>
  <si>
    <t>NV0294ZZRNV00051</t>
  </si>
  <si>
    <t>NV0294ZZRNV00052</t>
  </si>
  <si>
    <t>NV0294ZZRNV00064</t>
  </si>
  <si>
    <t>NY0311ZZRNY00356</t>
  </si>
  <si>
    <t>NY0369ZZRNY00418</t>
  </si>
  <si>
    <t>OH0189CNVOH00023</t>
  </si>
  <si>
    <t>OH0189CNVOH00027</t>
  </si>
  <si>
    <t>OH0192ZZVOH00013</t>
  </si>
  <si>
    <t>OH0194ZZROH00378</t>
  </si>
  <si>
    <t>OH0194ZZROH00433</t>
  </si>
  <si>
    <t>OH0208CLROH00431</t>
  </si>
  <si>
    <t>OH0514DDROH00432</t>
  </si>
  <si>
    <t>OK0039ZZROK00091</t>
  </si>
  <si>
    <t>OK0039ZZROK00093</t>
  </si>
  <si>
    <t>OK0039ZZROK00096</t>
  </si>
  <si>
    <t>OK0039ZZROK00097</t>
  </si>
  <si>
    <t>OR0018ZZROR00043</t>
  </si>
  <si>
    <t>OR0018ZZROR00122</t>
  </si>
  <si>
    <t>OR0023ZZROR00101</t>
  </si>
  <si>
    <t>OR0023ZZROR00123</t>
  </si>
  <si>
    <t>OR0023ZZROR00140</t>
  </si>
  <si>
    <t>OR0024ZZROR00124</t>
  </si>
  <si>
    <t>OR0033PEVOR00009</t>
  </si>
  <si>
    <t>OR0043ZZVOR00007</t>
  </si>
  <si>
    <t>OR0043ZZVOR00014</t>
  </si>
  <si>
    <t>OR0051ZZROR00011</t>
  </si>
  <si>
    <t>OR0051ZZROR00125</t>
  </si>
  <si>
    <t>OR0052ZZROR00121</t>
  </si>
  <si>
    <t>OR0052ZZROR00126</t>
  </si>
  <si>
    <t>OR0053ZZROR00127</t>
  </si>
  <si>
    <t>PA0064ZZRPA00494</t>
  </si>
  <si>
    <t>PA0143ZZRPA00469</t>
  </si>
  <si>
    <t>PA0143ZZRPA00490</t>
  </si>
  <si>
    <t>PA0158ZZRPA00392</t>
  </si>
  <si>
    <t>PA0158ZZRPA00474</t>
  </si>
  <si>
    <t>PA0158ZZRPA00489</t>
  </si>
  <si>
    <t>PA0158ZZRPA22457</t>
  </si>
  <si>
    <t>PA0182NCRPA00450</t>
  </si>
  <si>
    <t>PA0182NCRPA00451</t>
  </si>
  <si>
    <t>PA0182NCRPA00491</t>
  </si>
  <si>
    <t>PA0233ZZRPA00488</t>
  </si>
  <si>
    <t>PA0267ZZRPA00493</t>
  </si>
  <si>
    <t>PA0477ZZRPA00461</t>
  </si>
  <si>
    <t>PA0477ZZRPA00530</t>
  </si>
  <si>
    <t>PA0588ZZRPA00478</t>
  </si>
  <si>
    <t>PA0588ZZRPA00479</t>
  </si>
  <si>
    <t>PA0591ZZRPA00486</t>
  </si>
  <si>
    <t>PA0591ZZRPA00531</t>
  </si>
  <si>
    <t>PA0599NCRPA00468</t>
  </si>
  <si>
    <t>PA0599NCRPA00492</t>
  </si>
  <si>
    <t>PA0600ZZRPA00495</t>
  </si>
  <si>
    <t>PR0003ZZRPR00033</t>
  </si>
  <si>
    <t>PR0017ZZRPR00032</t>
  </si>
  <si>
    <t>PR4006ZZRPR00038</t>
  </si>
  <si>
    <t>SC0012ACRSC00055</t>
  </si>
  <si>
    <t>SC0012ACRSC00070</t>
  </si>
  <si>
    <t>SC0058ZZRSC00052</t>
  </si>
  <si>
    <t>SC0058ZZRSC00071</t>
  </si>
  <si>
    <t>SC0069AARSC00063</t>
  </si>
  <si>
    <t>SD0040ZZRSD00033</t>
  </si>
  <si>
    <t>TN0004ZZRTN00049</t>
  </si>
  <si>
    <t>TN0052AARTN00055</t>
  </si>
  <si>
    <t>TN0111AARTN00056</t>
  </si>
  <si>
    <t>TN0112AARTN00057</t>
  </si>
  <si>
    <t>TX0012ZZRTX00431</t>
  </si>
  <si>
    <t>TX0012ZZRTX00434</t>
  </si>
  <si>
    <t>TX0075ZZRTX00521</t>
  </si>
  <si>
    <t>TX0075ZZRTX00584</t>
  </si>
  <si>
    <t>TX0075ZZRTX00585</t>
  </si>
  <si>
    <t>TX0075ZZRTX00586</t>
  </si>
  <si>
    <t>TX0075ZZRTX00625</t>
  </si>
  <si>
    <t>TX0101ZZRTX00456</t>
  </si>
  <si>
    <t>TX0101ZZRTX08077</t>
  </si>
  <si>
    <t>TX0116CVRTX00498</t>
  </si>
  <si>
    <t>TX0116CVRTX00499</t>
  </si>
  <si>
    <t>TX0116CVRTX00557</t>
  </si>
  <si>
    <t>TX0116CVRTX00558</t>
  </si>
  <si>
    <t>TX0116CVRTX00559</t>
  </si>
  <si>
    <t>TX0247ZZRTX00582</t>
  </si>
  <si>
    <t>TX0247ZZRTX00583</t>
  </si>
  <si>
    <t>TX0247ZZRTX00624</t>
  </si>
  <si>
    <t>TX0272ZZRTX00553</t>
  </si>
  <si>
    <t>TX0272ZZRTX00554</t>
  </si>
  <si>
    <t>TX0272ZZRTX00556</t>
  </si>
  <si>
    <t>TX0282JLRTX00560</t>
  </si>
  <si>
    <t>TX0282JLRTX00561</t>
  </si>
  <si>
    <t>TX0282JLRTX00562</t>
  </si>
  <si>
    <t>TX0282JLRTX00563</t>
  </si>
  <si>
    <t>TX0282JLRTX00564</t>
  </si>
  <si>
    <t>TX0284DARTX00432</t>
  </si>
  <si>
    <t>TX0284DARTX00433</t>
  </si>
  <si>
    <t>TX0284DARTX00435</t>
  </si>
  <si>
    <t>TX0312BMRTX00548</t>
  </si>
  <si>
    <t>TX0312BMRTX00549</t>
  </si>
  <si>
    <t>TX0312BMRTX00550</t>
  </si>
  <si>
    <t>TX0312BMRTX00551</t>
  </si>
  <si>
    <t>TX0312BMRTX00552</t>
  </si>
  <si>
    <t>TX0318PHRTX00578</t>
  </si>
  <si>
    <t>TX0318PHRTX00579</t>
  </si>
  <si>
    <t>TX0318PHRTX00580</t>
  </si>
  <si>
    <t>TX0318PHRTX00581</t>
  </si>
  <si>
    <t>TX0325JLRTX00493</t>
  </si>
  <si>
    <t>TX0325JLRTX00494</t>
  </si>
  <si>
    <t>TX0328JLRTX00496</t>
  </si>
  <si>
    <t>TX0329JLRTX00497</t>
  </si>
  <si>
    <t>TX0540LTRTX00574</t>
  </si>
  <si>
    <t>TX0540LTRTX00575</t>
  </si>
  <si>
    <t>TX0540LTRTX00576</t>
  </si>
  <si>
    <t>TX0540LTRTX00577</t>
  </si>
  <si>
    <t>TX0937YSRTX00502</t>
  </si>
  <si>
    <t>TX0937YSRTX00503</t>
  </si>
  <si>
    <t>TX0963YSRTX00505</t>
  </si>
  <si>
    <t>TX0963YSRTX00506</t>
  </si>
  <si>
    <t>TX0964YSRTX00507</t>
  </si>
  <si>
    <t>TX0964YSRTX00508</t>
  </si>
  <si>
    <t>TX0965YSRTX00509</t>
  </si>
  <si>
    <t>TX0965YSRTX00510</t>
  </si>
  <si>
    <t>TX0966YSRTX00511</t>
  </si>
  <si>
    <t>TX0966YSRTX00512</t>
  </si>
  <si>
    <t>TX0972YSRTX00513</t>
  </si>
  <si>
    <t>TX0972YSRTX00514</t>
  </si>
  <si>
    <t>TX0973YSRTX00515</t>
  </si>
  <si>
    <t>TX0973YSRTX00516</t>
  </si>
  <si>
    <t>TX0999NWRTX00571</t>
  </si>
  <si>
    <t>TX0999NWRTX00572</t>
  </si>
  <si>
    <t>TX0999NWRTX00573</t>
  </si>
  <si>
    <t>TX0999ZZRTX00500</t>
  </si>
  <si>
    <t>TX0999ZZRTX00501</t>
  </si>
  <si>
    <t>TX2801ZZRTX00803</t>
  </si>
  <si>
    <t>VA0002ZZRVA00171</t>
  </si>
  <si>
    <t>VA0054ZZRVA00189</t>
  </si>
  <si>
    <t>VA0062ZZRVA00170</t>
  </si>
  <si>
    <t>VA0095ZZRVA00262</t>
  </si>
  <si>
    <t>VA0095ZZRVA00263</t>
  </si>
  <si>
    <t>VA0321ZZRVA00235</t>
  </si>
  <si>
    <t>VA0508ANRVA00242</t>
  </si>
  <si>
    <t>VA0686ZZRVA00190</t>
  </si>
  <si>
    <t>VT0018ZZRVT00047</t>
  </si>
  <si>
    <t>VT0018ZZRVT00051</t>
  </si>
  <si>
    <t>VT0026ZZRVT00049</t>
  </si>
  <si>
    <t>VT0057ZZRVT00048</t>
  </si>
  <si>
    <t>WA0035ZZRWA00378</t>
  </si>
  <si>
    <t>WA0053ZZRWA00228</t>
  </si>
  <si>
    <t>WA0053ZZRWA00376</t>
  </si>
  <si>
    <t>WA0053ZZRWA00384</t>
  </si>
  <si>
    <t>WA0059ZZRWA00379</t>
  </si>
  <si>
    <t>WA0064ZZRWA00426</t>
  </si>
  <si>
    <t>WA0082ZZRWA00375</t>
  </si>
  <si>
    <t>WA0082ZZRWA00385</t>
  </si>
  <si>
    <t>WA0094ZZRWA00381</t>
  </si>
  <si>
    <t>WA0094ZZRWA00397</t>
  </si>
  <si>
    <t>WA0094ZZRWA00398</t>
  </si>
  <si>
    <t>WA0119PRRWA00380</t>
  </si>
  <si>
    <t>WA0120BNRWA00386</t>
  </si>
  <si>
    <t>WA0124OBRWA00402</t>
  </si>
  <si>
    <t>WA0130OBRWA00403</t>
  </si>
  <si>
    <t>WA0551FBRWA20715</t>
  </si>
  <si>
    <t>WA0653SBRWA00401</t>
  </si>
  <si>
    <t>WA0831KFRWA00404</t>
  </si>
  <si>
    <t>WA7587ZZRWA00392</t>
  </si>
  <si>
    <t>WI0044ZZRWI00046</t>
  </si>
  <si>
    <t>WV0003ZZRWV00151</t>
  </si>
  <si>
    <t>WV0003ZZRWV00152</t>
  </si>
  <si>
    <t>WV0016FPRWV00180</t>
  </si>
  <si>
    <t>WV0050ZZRWV00153</t>
  </si>
  <si>
    <t>WV0054FPRWV00204</t>
  </si>
  <si>
    <t>AK, Ketchikan Federal Building (Meters)</t>
  </si>
  <si>
    <t>AK, Tok Alcan Border Station</t>
  </si>
  <si>
    <t>AL, Gadsden FB-CT</t>
  </si>
  <si>
    <t>AL, Montgomery Frank Johnson Federal Building and U S. Courthouse</t>
  </si>
  <si>
    <t>AL, Mobile Federal Facility (John A Campbell Federal Building)</t>
  </si>
  <si>
    <t>AR, Fort Smith Parker Courthouse US Post Office (Windows)</t>
  </si>
  <si>
    <t>AR, Texarkana USPO Courthouse Roof Replacement</t>
  </si>
  <si>
    <t>AR, Hot Springs National Park USCH and Post Office Roof Replacement and Seal Exterior</t>
  </si>
  <si>
    <t>AR, Helena Post Office Courthouse Roof Replacement</t>
  </si>
  <si>
    <t>AR, Pine Bluff FOB USPO Courthouse Roof Replacement</t>
  </si>
  <si>
    <t>AR, Batesville FOB/USPO (Boiler Replacement)</t>
  </si>
  <si>
    <t>AR, Batesville FOB/USPO (Chillers Replacement)</t>
  </si>
  <si>
    <t>Pre-Apprenticeship</t>
  </si>
  <si>
    <t>AZ, Tucson James A. Walsh Courthouse</t>
  </si>
  <si>
    <t>AZ, Phoenix Federal Building &amp; Courthouse</t>
  </si>
  <si>
    <t>AZ, Tucson Federal Building</t>
  </si>
  <si>
    <t>AZ, Phoenix Sandra O Connor Courthouse</t>
  </si>
  <si>
    <t>AZ, Tucson Evo Deconcini Courthouse</t>
  </si>
  <si>
    <t>AZ, Nogales BS Old CUS Building</t>
  </si>
  <si>
    <t>AZ, Nogales BS Building 1</t>
  </si>
  <si>
    <t>CA, San Diego J. Weinberger Courthouse</t>
  </si>
  <si>
    <t>CA, San Fransisco Appraisers Building</t>
  </si>
  <si>
    <t>CA, San Francisco Browning Court of Appeals (3 EEM's)</t>
  </si>
  <si>
    <t>CA, San Francisco Browning Court of Appeals (Meters)</t>
  </si>
  <si>
    <t>CA, Los Angeles 1340 West Street Federal Building</t>
  </si>
  <si>
    <t>CA, Los Angeles Wilshire Federal Building (Post Office Lighting)</t>
  </si>
  <si>
    <t>CA, Los Angeles Wilshire Federal Building</t>
  </si>
  <si>
    <t>CA, Los Angeles Wilshire Federal Building (Post Office Meters)</t>
  </si>
  <si>
    <t>CA, San Jose Robert F. Peckham FB &amp; CH</t>
  </si>
  <si>
    <t>CA, San Diego Paseo Int'l - Otay Mesa</t>
  </si>
  <si>
    <t>CA, San Fransisco San Fransisco Federal Building</t>
  </si>
  <si>
    <t>CA, Calexico B.S. Bulk/Hazmat. BL PV Project</t>
  </si>
  <si>
    <t>CA, San Diego BS New Main Building</t>
  </si>
  <si>
    <t>CA, Alameda Federal Center Building 1</t>
  </si>
  <si>
    <t>CO, Denver Custom House Federal Building- Courthouse (Move Pool)</t>
  </si>
  <si>
    <t>CO, Grand Junction Federal Building-CTH (Move Pool)</t>
  </si>
  <si>
    <t>CO, Denver Federal Center Building 21 - Chiller and Motor Replacement</t>
  </si>
  <si>
    <t>CO, Denver Federal Center Building 25 - Upgrade Chillers, Boilers, Pumps &amp; Motors</t>
  </si>
  <si>
    <t>CO, Denver Federal Center Building 40 -  Cool Roof Installation</t>
  </si>
  <si>
    <t>CO, Denver Federal Center Building 41 -  Roofing</t>
  </si>
  <si>
    <t>CO, Denver Federal Center Building 45 - Upgrade Chillers, Boilers, Pumps &amp; Motors</t>
  </si>
  <si>
    <t>CO, Denver Federal Center Building 50 - Cool Roof Installation</t>
  </si>
  <si>
    <t>CO, Denver Federal Center Building 54  - Boiler Replacement</t>
  </si>
  <si>
    <t>CO, Denver Federal Center Building 55 - Cool Roof Installation</t>
  </si>
  <si>
    <t>CO, Denver Federal Center Building 56- Chiller and Motor Replacement</t>
  </si>
  <si>
    <t>CO, Denver Federal Center Building 85 - Chiller and Motor Replacement</t>
  </si>
  <si>
    <t>CO, Denver Federal Center Building 810 - HVAC Upgrade</t>
  </si>
  <si>
    <t>CO, Denver Federal Center Building 15 - Chiller and Motor Replacement</t>
  </si>
  <si>
    <t>CO, Denver Federal Center Building 1A - Cool Roof Installation</t>
  </si>
  <si>
    <t>CO, Denver Federal Center Building710A -  Roof and Boiler Replacement</t>
  </si>
  <si>
    <t>CO, Denver Federal Center Building 720 - Cool Roof Installation</t>
  </si>
  <si>
    <t>CT, Hartford, AA Ribicoff FB &amp; CTHS (Meters)</t>
  </si>
  <si>
    <t>DC, Washington Central HTG PLNT STM</t>
  </si>
  <si>
    <t>DC, Washington James L. Whitten FB</t>
  </si>
  <si>
    <t>DC, Washington AGRI South</t>
  </si>
  <si>
    <t>DC, Washington 1800 F Street Building (Move Pool)</t>
  </si>
  <si>
    <t>DC, Washington Post Office Old</t>
  </si>
  <si>
    <t>DC, Washington GSA-Regional Office Building (Roofing Replacement)</t>
  </si>
  <si>
    <t>DC, Washington 1724 F Street NW</t>
  </si>
  <si>
    <t>DC, Washington Forrestal Triangle Service Center</t>
  </si>
  <si>
    <t>DC, Washington 725 17th St New Executive Office</t>
  </si>
  <si>
    <t>DC, Washington Dolley Madison</t>
  </si>
  <si>
    <t>DC, Washington Taylor House</t>
  </si>
  <si>
    <t>DC, Washington Cosmos Club</t>
  </si>
  <si>
    <t>DC, Washington Jackson Place Complex</t>
  </si>
  <si>
    <t>DC, Washington Judiciary Square</t>
  </si>
  <si>
    <t>DC, Washington Remote Delivery Site</t>
  </si>
  <si>
    <t>DC, Washington Vehicle Maintenance Facility</t>
  </si>
  <si>
    <t>DC, Washington William B. Bryant Annex</t>
  </si>
  <si>
    <t>DC, Washington Main School Building</t>
  </si>
  <si>
    <t>FL, Tampa Timberlake Jr Federal Building Annex</t>
  </si>
  <si>
    <t>FL, Ft Myers Ft. Myers Fed Building CTHS</t>
  </si>
  <si>
    <t>FL, Miami Wilkie Ferguson Courthouse Roof</t>
  </si>
  <si>
    <t>FL, Miami Wilkie Ferguson Courthouse (Meters)</t>
  </si>
  <si>
    <t>FL, Jacksonville Bryan Simpson US Courthouse</t>
  </si>
  <si>
    <t>FL, Orlando US Courthouse Annex</t>
  </si>
  <si>
    <t>FL, Tampa Timberlake Jr Federal Building</t>
  </si>
  <si>
    <t>FL, Gainsville Federal Courthouse</t>
  </si>
  <si>
    <t>FL, Jacksonville Charles E. Bennett FB</t>
  </si>
  <si>
    <t>FL, Orlando, Young U.S. Courthouse (Move Pool)</t>
  </si>
  <si>
    <t>FL Fort Lauderdale FB-CT</t>
  </si>
  <si>
    <t>FL, West Palm Beach AUTEC Building</t>
  </si>
  <si>
    <t>FL, Miami James L King Federal Justice Center</t>
  </si>
  <si>
    <t>GA, Athens Federal Courthouse Vegetated Roof and Boiler Replacement</t>
  </si>
  <si>
    <t>GA, Gainesville Federal Courthouse (Meters)</t>
  </si>
  <si>
    <t>GA, Gainesville Federal Courthouse Reflective Roof</t>
  </si>
  <si>
    <t>GA, Savannah Juliette Gordon Low FB</t>
  </si>
  <si>
    <t>GA, Brunswick Frank M Scarlett Federal Building</t>
  </si>
  <si>
    <t>HI, Honolulu Prince Kuhio Kanaianaole Federal Building-Courthouse (Move Pool)</t>
  </si>
  <si>
    <t>IA, Des Moines Neal Smith Federal Building (Move Pool)</t>
  </si>
  <si>
    <t>IA, Iowa City RB (Retro Cx HVAC system, Convert Steam to Hot Water System, &amp; Replace 2 Boilers)</t>
  </si>
  <si>
    <t>ID, Moscow Federal Building USPO &amp; CT</t>
  </si>
  <si>
    <t>ID, Porthill US Border STA New</t>
  </si>
  <si>
    <t>IL, Chicago, William Lipinski Federal Building</t>
  </si>
  <si>
    <t>IL, Danville FB &amp; USCH</t>
  </si>
  <si>
    <t>IL, East St. Louis USCH (Advanced Metering)</t>
  </si>
  <si>
    <t>IL, Peoria FB &amp; USCH</t>
  </si>
  <si>
    <t>IL, Benton Fed Bldg PO US CTHSE</t>
  </si>
  <si>
    <t>IL, Chicago Federal Center (Dirksen USCH Lighting)</t>
  </si>
  <si>
    <t>IL, Chicago FARC</t>
  </si>
  <si>
    <t>IL, Quincy SSA District Office</t>
  </si>
  <si>
    <t>IL, Mt. Vernon Federal Building</t>
  </si>
  <si>
    <t>IL, Chicago 450 S. Parking Facility</t>
  </si>
  <si>
    <t>IL, Chicago Federal Center (Move Pool)</t>
  </si>
  <si>
    <t>IL, Chicago Kluczynski FB &amp; U.S. Postal Service Loop Station (Move Pool)</t>
  </si>
  <si>
    <t>IN, Ft. Wayne Adair FB &amp; USCH</t>
  </si>
  <si>
    <t>IN, Indianapolis, Birch Bayh U.S. Courthouse (Move pool)</t>
  </si>
  <si>
    <t>IN, Lafayette Halleck FB &amp; USCH</t>
  </si>
  <si>
    <t>IN, South Bend Grant FB &amp; USCH</t>
  </si>
  <si>
    <t>IN, Jeffersonville Depot Building 60 (Roofs)</t>
  </si>
  <si>
    <t>IN, Jeffersonville Depot Building 61 (Roofs)</t>
  </si>
  <si>
    <t>IN, Jeffersonville Depot Federal Center (Lighting)</t>
  </si>
  <si>
    <t>IN, Jeffersonville Depot Building 63 (Roofs)</t>
  </si>
  <si>
    <t>IN, Jeffersonville Depot Building 64 (Roofs)</t>
  </si>
  <si>
    <t>KS, Topeka Carlson C.H. &amp; F.B. (Retro Commissioning)(Lighting)(AHU Replacement SE&amp;NE)</t>
  </si>
  <si>
    <t>KY, London Courthouse Annex</t>
  </si>
  <si>
    <t>KY, Louisville Gene Snyder USCT</t>
  </si>
  <si>
    <t>KY, Frankfort J.C. Watts Federal Building Vegetated Roof</t>
  </si>
  <si>
    <t>LA, Monroe Federal Building Courthouse Roof Replacement and Seal Exterior</t>
  </si>
  <si>
    <t>MA, Springfield Springfield Federal (Meters)</t>
  </si>
  <si>
    <t>MA, Fitchburg Philip J Philbin FOB (Meters)</t>
  </si>
  <si>
    <t>MA, Boston O'Neill Federal Building (Move Pool)</t>
  </si>
  <si>
    <t>MA, New Bedford Hastings Keith FB (Meters)</t>
  </si>
  <si>
    <t>MD, Baltimore Fallon Federal Building</t>
  </si>
  <si>
    <t>MD, Suitland Suitland House</t>
  </si>
  <si>
    <t>MD, Greenbelt Southern MD Courthouse</t>
  </si>
  <si>
    <t>MD, Germantown DOE Main Building GTN</t>
  </si>
  <si>
    <t>MD, Suitland Census Bureau Office Complex</t>
  </si>
  <si>
    <t>MD, Suitland Suitland Daycare Center</t>
  </si>
  <si>
    <t>MD, Baltimore Garmatz US Courthouse</t>
  </si>
  <si>
    <t>ME, Augusta Edmund S Muskie FB</t>
  </si>
  <si>
    <t>ME, Jackman Wind Turbines</t>
  </si>
  <si>
    <t>MI, Flint FB (Chillers and Boilers)</t>
  </si>
  <si>
    <t>MI, Kalamazoo FOB US Post Off CTHS</t>
  </si>
  <si>
    <t>MI, Detroit McNamara Federal Building (Move Pool)</t>
  </si>
  <si>
    <t>MI, Battle Creek Hart-Dole-Inouye</t>
  </si>
  <si>
    <t>MI, Battle Creek FC (Building 4)</t>
  </si>
  <si>
    <t>MI, Sault Ste Marie US Border Station (Move Pool)</t>
  </si>
  <si>
    <t>MN, Duluth Heaney USCH &amp; Customhouse</t>
  </si>
  <si>
    <t>MN, Fergus Falls USPO &amp; USCH Building and Courthouse</t>
  </si>
  <si>
    <t>MN, Minneapolis Federal Building (Roof &amp; Advanced Metering &amp; HVAC)</t>
  </si>
  <si>
    <t>MN, Bemidji Federal Building</t>
  </si>
  <si>
    <t>MN, Fort Snelling Whipple Federal Building (Move Pool)</t>
  </si>
  <si>
    <t>MN, Minneapolis Burger FB &amp; USCH (Advanced Metering)</t>
  </si>
  <si>
    <t>MN, Ft Snelling Motor Pool Garage</t>
  </si>
  <si>
    <t>MO, Kansas City Charles Whitaker (Automation System Controls)</t>
  </si>
  <si>
    <t>MO, Hannibal Federal Building USPO CT</t>
  </si>
  <si>
    <t>MO, Kansas City Richard Bolling (Move Pool)</t>
  </si>
  <si>
    <t>MO, Overland US Army Public Center (Meters)</t>
  </si>
  <si>
    <t>MO, Overland Chas F Prevedel FB</t>
  </si>
  <si>
    <t>MO, Whitaker, Prevedel and Goodfellow</t>
  </si>
  <si>
    <t>MO, St. Louis Goodfellow Building 102 (Meters)</t>
  </si>
  <si>
    <t>MO, St. Louis Goodfellow RMO00253 Roof projects for buildings 102E 103E 104F 106</t>
  </si>
  <si>
    <t>MO, St. Louis Goodfellow Federal Complex Masonry Repairs 102E 103E 105L 103F</t>
  </si>
  <si>
    <t>MO, St. Louis Goodfellow RMO00257 Roof projects for buildings 105E 105L 105F 122B 108A 108B 141C</t>
  </si>
  <si>
    <t>MO, St. Louis Goodfellow Building 105F (Meters)</t>
  </si>
  <si>
    <t>MS. Gulfort Dan Russell Jr. US FBCHTS</t>
  </si>
  <si>
    <t>MS. Gulfort Dan Russell Jr. CHTS Annex</t>
  </si>
  <si>
    <t>MS, Jackson McCoy Federal Building (Move Pool)</t>
  </si>
  <si>
    <t>NC, Raleigh FB-PO Cent Station</t>
  </si>
  <si>
    <t>NC, Winstons Salem Hiram Ward FBCH</t>
  </si>
  <si>
    <t>ND, Pembina Border Station Wind Generator</t>
  </si>
  <si>
    <t>NE, Grand Island FB (Upgrade HVAC system)</t>
  </si>
  <si>
    <t>NH, Manchester Norris Cotton FB (Meters)</t>
  </si>
  <si>
    <t>NJ, Camden US Post Office &amp; Courthouse</t>
  </si>
  <si>
    <t>NJ, Newark 20 Washington Place</t>
  </si>
  <si>
    <t>NJ, Trenton Clarkson Fisher FB-US CH</t>
  </si>
  <si>
    <t>NJ, Newark, Peter Rodino Federal Building (Move Pool)</t>
  </si>
  <si>
    <t>NJ, Trenton Clarkson US CH Annex</t>
  </si>
  <si>
    <t>NJ, Camen Mitchell H Cohen US CH Annex</t>
  </si>
  <si>
    <t>NM, Albuquerque Albuquerque Courthouse</t>
  </si>
  <si>
    <t>NV, Reno C. Clifton Young FOB &amp; CTHS</t>
  </si>
  <si>
    <t>NV, Las Vegas Foley FOB &amp; CH (Heat Pump Chiller)</t>
  </si>
  <si>
    <t>NV, Las Vegas Foley FOB &amp; CH (Variable Primary Pumping)</t>
  </si>
  <si>
    <t>NV, Las Vegas Foley FOB &amp; CH (Window Replacement)</t>
  </si>
  <si>
    <t>NV, Las Vegas Foley FOB &amp; CH (Lighting)</t>
  </si>
  <si>
    <t>NV, Las Vegas Foley FOB &amp; CH (Waterside Economizer)</t>
  </si>
  <si>
    <t>NV, Las Vegas Foley FOB &amp; CH (Water Heater)</t>
  </si>
  <si>
    <t>NV, Carson City FOB (Solar Power)</t>
  </si>
  <si>
    <t>NV, Carson City FOB (Solar Hot Water)</t>
  </si>
  <si>
    <t>NV, Carson City FOB (Windows)</t>
  </si>
  <si>
    <t>NV, Carson City FOB (Roof)</t>
  </si>
  <si>
    <t>NV, Carson City FOB (Parking Lot Lighting)</t>
  </si>
  <si>
    <t>NV, Carson City FOB (Office Lighting)</t>
  </si>
  <si>
    <t>NV, Carson City FOB</t>
  </si>
  <si>
    <t>NV, Bruce R. Thompson Courthouse (Boilers)</t>
  </si>
  <si>
    <t>NV, Bruce R. Thompson Courthouse (Meters)</t>
  </si>
  <si>
    <t>NY, New York Howard Street Garage</t>
  </si>
  <si>
    <t>NY, New York Manhattan - U.S. Mission to the U.N.</t>
  </si>
  <si>
    <t>OH, Cincinnati, John W. Peck Federal Building (Move pool)</t>
  </si>
  <si>
    <t>OH, Cleveland, A. J. Celebrezze Federal Building (Move Pool)</t>
  </si>
  <si>
    <t>OH, Akron Seiberling FB &amp; USCH</t>
  </si>
  <si>
    <t>OH, Columbus Bricker FB (Advanced Metering)</t>
  </si>
  <si>
    <t>OH, Dayton Warehouse 4 (Advanced Metering)</t>
  </si>
  <si>
    <t>OK, Mcalester C Albert Federal Building Courthouse</t>
  </si>
  <si>
    <t>OR, Medford JA Redden US Courthouse (replace boilers)</t>
  </si>
  <si>
    <t>OR, Medford J.A. Redden US Courthouse</t>
  </si>
  <si>
    <t>OR Portland Gus J. Solomon Courthouse</t>
  </si>
  <si>
    <t>OR, Portland The Pioneer Courthouse</t>
  </si>
  <si>
    <t>OR, Portland Edith Green-Wyndell Wyatt Federal Building (Move Pool)</t>
  </si>
  <si>
    <t>OR, Eugene Federal Building (hot water boilers)</t>
  </si>
  <si>
    <t>OR, Eugene Eugene Federal Building US Courthouse</t>
  </si>
  <si>
    <t>OR, Portland Hatfield US Courthouse</t>
  </si>
  <si>
    <t>OR, Wayne L. Morse US Courthouse</t>
  </si>
  <si>
    <t>PA, Erie FB &amp; Courthouse</t>
  </si>
  <si>
    <t>PA, Philadelphia Robert C Nix Federal Building</t>
  </si>
  <si>
    <t>PA, Pittsburgh US Courthouse</t>
  </si>
  <si>
    <t>PA, Scranton Nealon FB and US Courthouse</t>
  </si>
  <si>
    <t>PA, Scranton Nealon Windows</t>
  </si>
  <si>
    <t>PA, Pittsburgh William Moorhead Federal Building</t>
  </si>
  <si>
    <t>PA, Harrisburg Ronal Reagan Federal Building</t>
  </si>
  <si>
    <t>PA, Wilkes SSA DOC Roof</t>
  </si>
  <si>
    <t>PA, Allentown, Façade</t>
  </si>
  <si>
    <t>PA, Wilkes Barre Maintenance Building (Roof)</t>
  </si>
  <si>
    <t>PA, Erie Annex Building</t>
  </si>
  <si>
    <t>PR, San Juan Degatau &amp; Courthouse (Move Pool)</t>
  </si>
  <si>
    <t>SC, Charleston PO-CT</t>
  </si>
  <si>
    <t>SC, Florence J.L. McMillan Federal Building and Courthouse Vegetated Roof</t>
  </si>
  <si>
    <t>SC, Columbia Strom Thurmond CTHS</t>
  </si>
  <si>
    <t>SD, Aberdeen FB</t>
  </si>
  <si>
    <t>TN, Knoxville Howard Baker Jr. CTHS</t>
  </si>
  <si>
    <t>TN, Nashville E Kefauver FB</t>
  </si>
  <si>
    <t>TN, Nashville E Kefauver FB-CT Annex</t>
  </si>
  <si>
    <t>TN, Nashville E Kefauver FB-CT Parking Garage</t>
  </si>
  <si>
    <t>TX, Austin Austin Court House (Water Heater System)</t>
  </si>
  <si>
    <t>TX, Austin Austin Court House (Air Handler)</t>
  </si>
  <si>
    <t>TX, Forth Worth Courthouse</t>
  </si>
  <si>
    <t>TX, Houston US Custom House Roof Replacement and Seal Exterior</t>
  </si>
  <si>
    <t>TX, Laredo USBS Convent</t>
  </si>
  <si>
    <t>TX, Fort Worth Federal Parking Garage</t>
  </si>
  <si>
    <t>TX, El Paso RC White Federal Building</t>
  </si>
  <si>
    <t>TX, Laredo USBS J&amp;L Building</t>
  </si>
  <si>
    <t>TX, Dallas E Cabell FOB/USPO/CT (Replace Lg HP Motors)</t>
  </si>
  <si>
    <t>TX, Dallas E Cabell FOB/USPO/CT (Pneumatic Controls)</t>
  </si>
  <si>
    <t>TX, Dallas E Cabell FOB/USPO/CT (Lighting Controls)</t>
  </si>
  <si>
    <t>TX, Brownsville USBS B&amp;M Admin Building</t>
  </si>
  <si>
    <t>TX, Pharr USBS Pharr Admin Building</t>
  </si>
  <si>
    <t>TX, Laredo USBS J &amp; L Building 6 (Roof)</t>
  </si>
  <si>
    <t>TX, Laredo USBS J &amp; L Kennel Building 1 (Roof)</t>
  </si>
  <si>
    <t>TX, Laredo USBS J &amp; L Truck Inspection Building (Roof)</t>
  </si>
  <si>
    <t>TX, Laredo USBS J &amp; L Guard Building (Roof)</t>
  </si>
  <si>
    <t>TX, Brownsville USBS Tomates Admin Building</t>
  </si>
  <si>
    <t>TX, EL Paso Ysleta USBS Roof Replacement and Seal Exterior</t>
  </si>
  <si>
    <t>TX, Laredo USBS World Trade Export Lot</t>
  </si>
  <si>
    <t>TX, Laredo USBS World Trade Bridge Roof Replacement &amp; Seal Exterior</t>
  </si>
  <si>
    <t>TX, Houston Total Plaza</t>
  </si>
  <si>
    <t>VA, Abingdon Federal Building roof</t>
  </si>
  <si>
    <t>VA, Norfolk Walter E Hoffman US Courthouse Energy Bundle</t>
  </si>
  <si>
    <t>VA, Richmond Lewis F. Powell Jr. US Courthouse Annex</t>
  </si>
  <si>
    <t>VA, Roanoke, Poff Federal Building  (Move Pool)</t>
  </si>
  <si>
    <t>VA, Alexandria Av Bryan Sr Courthouse</t>
  </si>
  <si>
    <t>VA, Franconia Building C</t>
  </si>
  <si>
    <t>VA, Harrisonburg U.S. Courthouse (AHU)</t>
  </si>
  <si>
    <t>VT, St. Albans Federal Building (Meters)</t>
  </si>
  <si>
    <t>VT, Montpelier Federal Building &amp; USPOCT (Meters)</t>
  </si>
  <si>
    <t>VT, Highgate Springs USBS (Meters)</t>
  </si>
  <si>
    <t>WA, Seattle William Kenzo Nakamura Courthouse</t>
  </si>
  <si>
    <t>WA, Yakima WM O Douglas FBUSCT</t>
  </si>
  <si>
    <t>WA, Seattle Fed Arch and Rec Center</t>
  </si>
  <si>
    <t>WA, Spokane Foley U.S. Courthouse (Move Pool)</t>
  </si>
  <si>
    <t>WA, Wenatchee Federal Building and USPO (Boiler Upgrade)</t>
  </si>
  <si>
    <t>WA, Wenatchee Federal Building and USPO (Meters)</t>
  </si>
  <si>
    <t>WA, Vancouver Vancouver Federal Building</t>
  </si>
  <si>
    <t>WA, Point Roberts New Border Station</t>
  </si>
  <si>
    <t>WA, Blaine Auto Bus Building</t>
  </si>
  <si>
    <t>WA, Oroville Oroville Border Station</t>
  </si>
  <si>
    <t>WA, Curlew Ferry Border Station &amp; Quarters</t>
  </si>
  <si>
    <t>WA, Sumas US Border Station</t>
  </si>
  <si>
    <t>WA, Auburn Warehouse 7</t>
  </si>
  <si>
    <t>WA, Tacoma Union Station</t>
  </si>
  <si>
    <t>WI, Milwaukee Federal Building &amp; US Courthouse (Move Pool)</t>
  </si>
  <si>
    <t>WV, Elizabeth Kee Courthouse Restroom Renovations</t>
  </si>
  <si>
    <t>WV, Elizabeth Kee Courthouse Roof Replacement</t>
  </si>
  <si>
    <t>WV, Huntington, Christie Lighting</t>
  </si>
  <si>
    <t>WV, Mt Hope Federal Building and Garage</t>
  </si>
  <si>
    <t>Project Name</t>
  </si>
  <si>
    <t>Building Number + Project Number</t>
  </si>
  <si>
    <t>AL, Gadsden FB-CT (Meters)</t>
  </si>
  <si>
    <t>IA, Iowa City Federal Building United States Postal Service</t>
  </si>
  <si>
    <t>IL, Chicago, 10 West Jackson Blvd. (Move Pool)</t>
  </si>
  <si>
    <t>OR, Portland Gus J. Solomon Courthouse</t>
  </si>
  <si>
    <t>WV, Huntington Federal Building (Move Pool)</t>
  </si>
  <si>
    <t>Total Outlays as of 9/9/11</t>
  </si>
  <si>
    <t>Total Obligations  as of 9/9/11</t>
  </si>
  <si>
    <t>Building Number</t>
  </si>
  <si>
    <t>Project Number</t>
  </si>
  <si>
    <t>Total Obligations  as of 9/16/11</t>
  </si>
  <si>
    <t>Total Outlays as of 9/16/11</t>
  </si>
  <si>
    <t>01, Advanced Metering (Multiple Buildings)</t>
  </si>
  <si>
    <t>FL, Miami Wilkie Ferguson Courthouse</t>
  </si>
  <si>
    <t>GA, Gainesville Federal Courthouse</t>
  </si>
  <si>
    <t>IL, Chicago FARC (Recladding)</t>
  </si>
  <si>
    <t>IL, Chicago, 10 West Jackson (Move Pool)</t>
  </si>
  <si>
    <t>IN, Jeffersonville Depot (Roofs)</t>
  </si>
  <si>
    <t>MO, Kansas City Richard Bolling Move</t>
  </si>
  <si>
    <t>AR, Batesville FOB/USPO (Chillers and Boiler Replacement)</t>
  </si>
  <si>
    <t>TX, Austin Court House (Air Handler Replacement and Water Heater System)</t>
  </si>
  <si>
    <t>TX, Fort Worth Courthouse</t>
  </si>
  <si>
    <t>TX, Dallas E Cabell FOB/USPO/CT (Replace Lg HP Motors, Pneumatic Ctrls w/ Digital, Lighting Ctrls)</t>
  </si>
  <si>
    <t>RTX00856</t>
  </si>
  <si>
    <t>CO, Denver Federal Center (Building 15, 21, 56, 85) - Chillers</t>
  </si>
  <si>
    <t>CO, Denver Federal Center (Building 25 &amp; 41)  (SuperTherm)</t>
  </si>
  <si>
    <t>RCO00322B</t>
  </si>
  <si>
    <t>CO, Denver Federal Center (Buildings 50, 1A and 40)  (Cool Roof Installation)</t>
  </si>
  <si>
    <t>CO, Denver Federal Center (Buildings 55, 710A and 720)  (Cool Roof Installation)</t>
  </si>
  <si>
    <t>RCO00264A</t>
  </si>
  <si>
    <t>CO, Denver Federal Center (Buildings 56 and 710A) Upgrade Chillers, Boilers, Pumps &amp; Motors</t>
  </si>
  <si>
    <t>RCO00324A</t>
  </si>
  <si>
    <t>RCA00860</t>
  </si>
  <si>
    <t>CA, Los Angeles Wilshire Federal Building (Post Office)</t>
  </si>
  <si>
    <t>CA, Los Angeles Wilshire Federal Building (Cafeteria)</t>
  </si>
  <si>
    <t>CA, Los Angeles Wilshire Federal Building (Basement Lighting)</t>
  </si>
  <si>
    <t>CA, Los Angeles Wilshire Federal Building (Basement AHU)</t>
  </si>
  <si>
    <t>CA, Los Angeles Wilshire Federal Building (Cooling Tower)</t>
  </si>
  <si>
    <t>CA, Los Angeles Wilshire Federal Building (Chiller)</t>
  </si>
  <si>
    <t>NV, Las Vegas Foley Federal Building</t>
  </si>
  <si>
    <t>NV, Bruce R. Thompson Courthouse</t>
  </si>
  <si>
    <t>MD0205ZZ</t>
  </si>
  <si>
    <t>RMD00488</t>
  </si>
  <si>
    <t>MD, Silver Spring SS Metro Center 1</t>
  </si>
  <si>
    <t>MD0334ZZ</t>
  </si>
  <si>
    <t>RMD00487</t>
  </si>
  <si>
    <t>MD, College Park FDA College Park Campus</t>
  </si>
  <si>
    <t>Total Obligations  as of 1/27/12</t>
  </si>
  <si>
    <t>Total Outlays as of 1/27/12</t>
  </si>
  <si>
    <t>RVT00047A</t>
  </si>
  <si>
    <t>Total Obligations  as of 3/31/12</t>
  </si>
  <si>
    <t>Total Outlays as of 3/31/12</t>
  </si>
  <si>
    <t>Total</t>
  </si>
  <si>
    <t>Total Obligations  as of 6/30/12</t>
  </si>
  <si>
    <t>Total Outlays as of 6/30/12</t>
  </si>
  <si>
    <t>RNM00065</t>
  </si>
  <si>
    <t>NM, Albuquerque Pete Domenici U.S Courthouse (Landscaping)</t>
  </si>
  <si>
    <t>VPR00008</t>
  </si>
  <si>
    <t/>
  </si>
  <si>
    <t>NM0050ZZ</t>
  </si>
  <si>
    <t>Total Obligations  as of 9/30/12</t>
  </si>
  <si>
    <t>Total Outlays as of 9/30/12</t>
  </si>
  <si>
    <t>NM0502ZZ</t>
  </si>
  <si>
    <t>Region</t>
  </si>
  <si>
    <t>Building NumberProject Number</t>
  </si>
  <si>
    <t>Total Obligations  as of 11/30/12</t>
  </si>
  <si>
    <t>Total Outlays as of 11/30/12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</si>
</sst>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&quot;$&quot;#,##0"/>
  </numFmts>
  <fonts count="9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b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</borders>
  <cellStyleXfs count="6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1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/>
    <xf numFmtId="0" fontId="2" fillId="2" borderId="1" xfId="0" applyFont="1" applyFill="1" applyBorder="1" applyAlignment="1">
      <alignment horizontal="center" wrapText="1"/>
    </xf>
    <xf numFmtId="164" fontId="3" fillId="0" borderId="0" xfId="0" applyNumberFormat="1" applyFont="1"/>
    <xf numFmtId="44" fontId="0" fillId="0" borderId="0" xfId="1" applyFont="1"/>
    <xf numFmtId="44" fontId="2" fillId="2" borderId="1" xfId="1" applyFont="1" applyFill="1" applyBorder="1" applyAlignment="1">
      <alignment horizontal="center" wrapText="1"/>
    </xf>
    <xf numFmtId="0" fontId="5" fillId="2" borderId="0" xfId="0" applyFont="1" applyFill="1"/>
    <xf numFmtId="44" fontId="5" fillId="2" borderId="0" xfId="1" applyFont="1" applyFill="1"/>
    <xf numFmtId="164" fontId="5" fillId="2" borderId="0" xfId="0" applyNumberFormat="1" applyFont="1" applyFill="1"/>
    <xf numFmtId="44" fontId="0" fillId="0" borderId="0" xfId="0" applyNumberFormat="1"/>
    <xf numFmtId="44" fontId="0" fillId="0" borderId="0" xfId="1" applyFont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44" fontId="2" fillId="2" borderId="2" xfId="1" applyFont="1" applyFill="1" applyBorder="1" applyAlignment="1">
      <alignment horizontal="center" vertical="top" wrapText="1"/>
    </xf>
    <xf numFmtId="0" fontId="5" fillId="2" borderId="0" xfId="0" applyFont="1" applyFill="1" applyAlignment="1">
      <alignment vertical="top"/>
    </xf>
    <xf numFmtId="44" fontId="5" fillId="2" borderId="0" xfId="1" applyFont="1" applyFill="1" applyAlignment="1">
      <alignment vertical="top"/>
    </xf>
    <xf numFmtId="10" fontId="0" fillId="0" borderId="0" xfId="2" applyNumberFormat="1" applyFont="1" applyAlignment="1">
      <alignment vertical="top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center" vertical="top"/>
    </xf>
    <xf numFmtId="0" fontId="7" fillId="0" borderId="0" xfId="3" applyFont="1" applyFill="1" applyBorder="1" applyAlignment="1">
      <alignment horizontal="center" vertical="top" wrapText="1"/>
    </xf>
    <xf numFmtId="0" fontId="7" fillId="0" borderId="0" xfId="3" applyFont="1" applyFill="1" applyBorder="1" applyAlignment="1">
      <alignment vertical="top" wrapText="1"/>
    </xf>
    <xf numFmtId="44" fontId="7" fillId="0" borderId="0" xfId="1" applyFont="1" applyFill="1" applyBorder="1" applyAlignment="1">
      <alignment horizontal="right" vertical="top" wrapText="1"/>
    </xf>
    <xf numFmtId="164" fontId="0" fillId="0" borderId="0" xfId="0" applyNumberFormat="1" applyFont="1" applyAlignment="1">
      <alignment vertical="top"/>
    </xf>
    <xf numFmtId="44" fontId="7" fillId="0" borderId="0" xfId="1" applyFont="1" applyBorder="1" applyAlignment="1">
      <alignment vertical="top"/>
    </xf>
    <xf numFmtId="0" fontId="1" fillId="0" borderId="0" xfId="4"/>
    <xf numFmtId="0" fontId="1" fillId="0" borderId="0" xfId="4" applyFont="1" applyAlignment="1">
      <alignment horizontal="center" vertical="top"/>
    </xf>
    <xf numFmtId="0" fontId="1" fillId="0" borderId="0" xfId="4" applyFont="1" applyAlignment="1">
      <alignment vertical="top"/>
    </xf>
    <xf numFmtId="44" fontId="0" fillId="0" borderId="0" xfId="5" applyFont="1" applyAlignment="1">
      <alignment horizontal="center" vertical="top"/>
    </xf>
    <xf numFmtId="0" fontId="2" fillId="2" borderId="2" xfId="4" applyFont="1" applyFill="1" applyBorder="1" applyAlignment="1">
      <alignment horizontal="center" vertical="top" wrapText="1"/>
    </xf>
    <xf numFmtId="44" fontId="2" fillId="2" borderId="2" xfId="5" applyFont="1" applyFill="1" applyBorder="1" applyAlignment="1">
      <alignment horizontal="center" vertical="top" wrapText="1"/>
    </xf>
    <xf numFmtId="0" fontId="1" fillId="0" borderId="0" xfId="4" applyAlignment="1">
      <alignment horizontal="center"/>
    </xf>
    <xf numFmtId="165" fontId="1" fillId="0" borderId="0" xfId="4" applyNumberFormat="1" applyAlignment="1">
      <alignment horizontal="center"/>
    </xf>
    <xf numFmtId="0" fontId="1" fillId="0" borderId="0" xfId="4" applyNumberFormat="1"/>
    <xf numFmtId="0" fontId="1" fillId="0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horizontal="center"/>
    </xf>
    <xf numFmtId="165" fontId="8" fillId="0" borderId="0" xfId="0" applyNumberFormat="1" applyFont="1" applyFill="1" applyBorder="1" applyAlignment="1" applyProtection="1">
      <alignment horizontal="center"/>
    </xf>
  </cellXfs>
  <cellStyles count="6">
    <cellStyle name="Currency" xfId="1" builtinId="4"/>
    <cellStyle name="Currency 2" xfId="5"/>
    <cellStyle name="Normal" xfId="0" builtinId="0"/>
    <cellStyle name="Normal 2" xfId="4"/>
    <cellStyle name="Normal_09302012" xfId="3"/>
    <cellStyle name="Percent" xfId="2" builtinId="5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65" formatCode="&quot;$&quot;#,##0"/>
      <alignment horizontal="center" vertical="bottom" textRotation="0" wrapText="0" indent="0" relativeIndent="255" justifyLastLine="0" shrinkToFit="0" readingOrder="0"/>
    </dxf>
    <dxf>
      <numFmt numFmtId="165" formatCode="&quot;$&quot;#,##0"/>
      <alignment horizontal="center" textRotation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65" formatCode="&quot;$&quot;#,##0"/>
      <alignment horizontal="center" vertical="bottom" textRotation="0" wrapText="0" indent="0" relativeIndent="255" justifyLastLine="0" shrinkToFit="0" readingOrder="0"/>
    </dxf>
    <dxf>
      <numFmt numFmtId="165" formatCode="&quot;$&quot;#,##0"/>
      <alignment horizontal="center" textRotation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alignment horizontal="center" vertical="bottom" textRotation="0" wrapText="0" indent="0" relativeIndent="255" justifyLastLine="0" shrinkToFit="0" readingOrder="0"/>
    </dxf>
    <dxf>
      <alignment horizontal="center" textRotation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16384</xdr:col>
      <xdr:colOff>533399</xdr:colOff>
      <xdr:row>3</xdr:row>
      <xdr:rowOff>38100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40000" contrast="-70000"/>
        </a:blip>
        <a:srcRect/>
        <a:stretch>
          <a:fillRect/>
        </a:stretch>
      </xdr:blipFill>
      <xdr:spPr bwMode="auto">
        <a:xfrm>
          <a:off x="0" y="0"/>
          <a:ext cx="8039099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142875</xdr:colOff>
      <xdr:row>0</xdr:row>
      <xdr:rowOff>28575</xdr:rowOff>
    </xdr:from>
    <xdr:to>
      <xdr:col>7</xdr:col>
      <xdr:colOff>0</xdr:colOff>
      <xdr:row>3</xdr:row>
      <xdr:rowOff>123825</xdr:rowOff>
    </xdr:to>
    <xdr:sp macro="" textlink="">
      <xdr:nvSpPr>
        <xdr:cNvPr id="3" name="Text Box 17"/>
        <xdr:cNvSpPr txBox="1">
          <a:spLocks noChangeArrowheads="1"/>
        </xdr:cNvSpPr>
      </xdr:nvSpPr>
      <xdr:spPr bwMode="auto">
        <a:xfrm>
          <a:off x="609600" y="28575"/>
          <a:ext cx="6896100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80"/>
              </a:solidFill>
              <a:latin typeface="Calibri"/>
            </a:rPr>
            <a:t>BA04 OBLIGATIONS AND OUTLAYS BY BUILDING NUMBER</a:t>
          </a: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000080"/>
              </a:solidFill>
              <a:latin typeface="Calibri"/>
            </a:rPr>
            <a:t>Source: FMIS</a:t>
          </a:r>
          <a:endParaRPr lang="en-US" sz="1800" b="1" i="0" u="none" strike="noStrike" baseline="0">
            <a:solidFill>
              <a:srgbClr val="000080"/>
            </a:solidFill>
            <a:latin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80"/>
              </a:solidFill>
              <a:latin typeface="Calibri"/>
            </a:rPr>
            <a:t> </a:t>
          </a: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76200</xdr:colOff>
      <xdr:row>3</xdr:row>
      <xdr:rowOff>38100</xdr:rowOff>
    </xdr:to>
    <xdr:pic>
      <xdr:nvPicPr>
        <xdr:cNvPr id="4" name="Picture 16" descr="gsalogo92x92color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5429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1174749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40000" contrast="-70000"/>
        </a:blip>
        <a:srcRect/>
        <a:stretch>
          <a:fillRect/>
        </a:stretch>
      </xdr:blipFill>
      <xdr:spPr bwMode="auto">
        <a:xfrm>
          <a:off x="0" y="0"/>
          <a:ext cx="8879416" cy="6879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781050</xdr:colOff>
      <xdr:row>0</xdr:row>
      <xdr:rowOff>28575</xdr:rowOff>
    </xdr:from>
    <xdr:to>
      <xdr:col>7</xdr:col>
      <xdr:colOff>995547</xdr:colOff>
      <xdr:row>5</xdr:row>
      <xdr:rowOff>147918</xdr:rowOff>
    </xdr:to>
    <xdr:sp macro="" textlink="">
      <xdr:nvSpPr>
        <xdr:cNvPr id="3" name="Text Box 17"/>
        <xdr:cNvSpPr txBox="1">
          <a:spLocks noChangeArrowheads="1"/>
        </xdr:cNvSpPr>
      </xdr:nvSpPr>
      <xdr:spPr bwMode="auto">
        <a:xfrm>
          <a:off x="714375" y="28575"/>
          <a:ext cx="7343775" cy="919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0080"/>
              </a:solidFill>
              <a:latin typeface="Calibri"/>
            </a:rPr>
            <a:t>BA04 OBLIGATIONS AND OUTLAYS BY BUILDING NUMBER</a:t>
          </a: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000080"/>
              </a:solidFill>
              <a:latin typeface="Calibri"/>
            </a:rPr>
            <a:t>Source: FMIS</a:t>
          </a:r>
        </a:p>
        <a:p>
          <a:pPr algn="l" rtl="0">
            <a:defRPr sz="1000"/>
          </a:pPr>
          <a:endParaRPr lang="en-US" sz="1800" b="1" i="0" u="none" strike="noStrike" baseline="0">
            <a:solidFill>
              <a:srgbClr val="000080"/>
            </a:solidFill>
            <a:latin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80"/>
              </a:solidFill>
              <a:latin typeface="Calibri"/>
            </a:rPr>
            <a:t> </a:t>
          </a: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9525</xdr:colOff>
      <xdr:row>4</xdr:row>
      <xdr:rowOff>0</xdr:rowOff>
    </xdr:to>
    <xdr:pic>
      <xdr:nvPicPr>
        <xdr:cNvPr id="4" name="Picture 16" descr="gsalogo92x92color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7239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1162050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40000" contrast="-70000"/>
        </a:blip>
        <a:srcRect/>
        <a:stretch>
          <a:fillRect/>
        </a:stretch>
      </xdr:blipFill>
      <xdr:spPr bwMode="auto">
        <a:xfrm>
          <a:off x="0" y="0"/>
          <a:ext cx="80391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781050</xdr:colOff>
      <xdr:row>0</xdr:row>
      <xdr:rowOff>28575</xdr:rowOff>
    </xdr:from>
    <xdr:to>
      <xdr:col>6</xdr:col>
      <xdr:colOff>995547</xdr:colOff>
      <xdr:row>5</xdr:row>
      <xdr:rowOff>147918</xdr:rowOff>
    </xdr:to>
    <xdr:sp macro="" textlink="">
      <xdr:nvSpPr>
        <xdr:cNvPr id="3" name="Text Box 17"/>
        <xdr:cNvSpPr txBox="1">
          <a:spLocks noChangeArrowheads="1"/>
        </xdr:cNvSpPr>
      </xdr:nvSpPr>
      <xdr:spPr bwMode="auto">
        <a:xfrm>
          <a:off x="714375" y="28575"/>
          <a:ext cx="7343775" cy="919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US" sz="1800" b="1" i="0" u="none" strike="noStrike" baseline="0">
              <a:solidFill>
                <a:srgbClr val="000080"/>
              </a:solidFill>
              <a:latin typeface="Calibri"/>
            </a:rPr>
            <a:t>BA04 OBLIGATIONS AND OUTLAYS BY BUILDING NUMBER</a:t>
          </a: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000080"/>
              </a:solidFill>
              <a:latin typeface="Calibri"/>
            </a:rPr>
            <a:t>Source: FMIS</a:t>
          </a:r>
        </a:p>
        <a:p>
          <a:pPr algn="l" rtl="0">
            <a:defRPr sz="1000"/>
          </a:pPr>
          <a:endParaRPr lang="en-US" sz="1800" b="1" i="0" u="none" strike="noStrike" baseline="0">
            <a:solidFill>
              <a:srgbClr val="000080"/>
            </a:solidFill>
            <a:latin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80"/>
              </a:solidFill>
              <a:latin typeface="Calibri"/>
            </a:rPr>
            <a:t> </a:t>
          </a: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9525</xdr:colOff>
      <xdr:row>4</xdr:row>
      <xdr:rowOff>0</xdr:rowOff>
    </xdr:to>
    <xdr:pic>
      <xdr:nvPicPr>
        <xdr:cNvPr id="4" name="Picture 16" descr="gsalogo92x92color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7239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1162050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40000" contrast="-70000"/>
        </a:blip>
        <a:srcRect/>
        <a:stretch>
          <a:fillRect/>
        </a:stretch>
      </xdr:blipFill>
      <xdr:spPr bwMode="auto">
        <a:xfrm>
          <a:off x="0" y="0"/>
          <a:ext cx="80391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781050</xdr:colOff>
      <xdr:row>0</xdr:row>
      <xdr:rowOff>28575</xdr:rowOff>
    </xdr:from>
    <xdr:to>
      <xdr:col>6</xdr:col>
      <xdr:colOff>995547</xdr:colOff>
      <xdr:row>5</xdr:row>
      <xdr:rowOff>147918</xdr:rowOff>
    </xdr:to>
    <xdr:sp macro="" textlink="">
      <xdr:nvSpPr>
        <xdr:cNvPr id="3" name="Text Box 17"/>
        <xdr:cNvSpPr txBox="1">
          <a:spLocks noChangeArrowheads="1"/>
        </xdr:cNvSpPr>
      </xdr:nvSpPr>
      <xdr:spPr bwMode="auto">
        <a:xfrm>
          <a:off x="714375" y="28575"/>
          <a:ext cx="7343775" cy="919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US" sz="1800" b="1" i="0" u="none" strike="noStrike" baseline="0">
              <a:solidFill>
                <a:srgbClr val="000080"/>
              </a:solidFill>
              <a:latin typeface="Calibri"/>
            </a:rPr>
            <a:t>BA04 OBLIGATIONS AND OUTLAYS BY BUILDING NUMBER</a:t>
          </a: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000080"/>
              </a:solidFill>
              <a:latin typeface="Calibri"/>
            </a:rPr>
            <a:t>Source: FMIS</a:t>
          </a:r>
        </a:p>
        <a:p>
          <a:pPr algn="l" rtl="0">
            <a:defRPr sz="1000"/>
          </a:pPr>
          <a:endParaRPr lang="en-US" sz="1800" b="1" i="0" u="none" strike="noStrike" baseline="0">
            <a:solidFill>
              <a:srgbClr val="000080"/>
            </a:solidFill>
            <a:latin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80"/>
              </a:solidFill>
              <a:latin typeface="Calibri"/>
            </a:rPr>
            <a:t> </a:t>
          </a: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9525</xdr:colOff>
      <xdr:row>4</xdr:row>
      <xdr:rowOff>0</xdr:rowOff>
    </xdr:to>
    <xdr:pic>
      <xdr:nvPicPr>
        <xdr:cNvPr id="4" name="Picture 16" descr="gsalogo92x92color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7239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1162050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40000" contrast="-70000"/>
        </a:blip>
        <a:srcRect/>
        <a:stretch>
          <a:fillRect/>
        </a:stretch>
      </xdr:blipFill>
      <xdr:spPr bwMode="auto">
        <a:xfrm>
          <a:off x="0" y="0"/>
          <a:ext cx="80391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781050</xdr:colOff>
      <xdr:row>0</xdr:row>
      <xdr:rowOff>28575</xdr:rowOff>
    </xdr:from>
    <xdr:to>
      <xdr:col>6</xdr:col>
      <xdr:colOff>995547</xdr:colOff>
      <xdr:row>5</xdr:row>
      <xdr:rowOff>147918</xdr:rowOff>
    </xdr:to>
    <xdr:sp macro="" textlink="">
      <xdr:nvSpPr>
        <xdr:cNvPr id="3" name="Text Box 17"/>
        <xdr:cNvSpPr txBox="1">
          <a:spLocks noChangeArrowheads="1"/>
        </xdr:cNvSpPr>
      </xdr:nvSpPr>
      <xdr:spPr bwMode="auto">
        <a:xfrm>
          <a:off x="714375" y="28575"/>
          <a:ext cx="7343775" cy="919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US" sz="1800" b="1" i="0" u="none" strike="noStrike" baseline="0">
              <a:solidFill>
                <a:srgbClr val="000080"/>
              </a:solidFill>
              <a:latin typeface="Calibri"/>
            </a:rPr>
            <a:t>BA04 OBLIGATIONS AND OUTLAYS BY BUILDING NUMBER</a:t>
          </a: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000080"/>
              </a:solidFill>
              <a:latin typeface="Calibri"/>
            </a:rPr>
            <a:t>Source: FMIS</a:t>
          </a:r>
        </a:p>
        <a:p>
          <a:pPr algn="l" rtl="0">
            <a:defRPr sz="1000"/>
          </a:pPr>
          <a:endParaRPr lang="en-US" sz="1800" b="1" i="0" u="none" strike="noStrike" baseline="0">
            <a:solidFill>
              <a:srgbClr val="000080"/>
            </a:solidFill>
            <a:latin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80"/>
              </a:solidFill>
              <a:latin typeface="Calibri"/>
            </a:rPr>
            <a:t> </a:t>
          </a: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9525</xdr:colOff>
      <xdr:row>4</xdr:row>
      <xdr:rowOff>0</xdr:rowOff>
    </xdr:to>
    <xdr:pic>
      <xdr:nvPicPr>
        <xdr:cNvPr id="4" name="Picture 16" descr="gsalogo92x92color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7239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1162050</xdr:colOff>
      <xdr:row>4</xdr:row>
      <xdr:rowOff>0</xdr:rowOff>
    </xdr:to>
    <xdr:pic>
      <xdr:nvPicPr>
        <xdr:cNvPr id="103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40000" contrast="-70000"/>
        </a:blip>
        <a:srcRect/>
        <a:stretch>
          <a:fillRect/>
        </a:stretch>
      </xdr:blipFill>
      <xdr:spPr bwMode="auto">
        <a:xfrm>
          <a:off x="0" y="0"/>
          <a:ext cx="80391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781050</xdr:colOff>
      <xdr:row>0</xdr:row>
      <xdr:rowOff>28575</xdr:rowOff>
    </xdr:from>
    <xdr:to>
      <xdr:col>6</xdr:col>
      <xdr:colOff>995547</xdr:colOff>
      <xdr:row>5</xdr:row>
      <xdr:rowOff>147918</xdr:rowOff>
    </xdr:to>
    <xdr:sp macro="" textlink="">
      <xdr:nvSpPr>
        <xdr:cNvPr id="3" name="Text Box 17"/>
        <xdr:cNvSpPr txBox="1">
          <a:spLocks noChangeArrowheads="1"/>
        </xdr:cNvSpPr>
      </xdr:nvSpPr>
      <xdr:spPr bwMode="auto">
        <a:xfrm>
          <a:off x="781050" y="28575"/>
          <a:ext cx="8472672" cy="8051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US" sz="1800" b="1" i="0" u="none" strike="noStrike" baseline="0">
              <a:solidFill>
                <a:srgbClr val="000080"/>
              </a:solidFill>
              <a:latin typeface="Calibri"/>
            </a:rPr>
            <a:t>BA04 OBLIGATIONS AND OUTLAYS BY BUILDING NUMBER</a:t>
          </a: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000080"/>
              </a:solidFill>
              <a:latin typeface="Calibri"/>
            </a:rPr>
            <a:t>Source: FMIS</a:t>
          </a:r>
        </a:p>
        <a:p>
          <a:pPr algn="l" rtl="0">
            <a:defRPr sz="1000"/>
          </a:pPr>
          <a:endParaRPr lang="en-US" sz="1800" b="1" i="0" u="none" strike="noStrike" baseline="0">
            <a:solidFill>
              <a:srgbClr val="000080"/>
            </a:solidFill>
            <a:latin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80"/>
              </a:solidFill>
              <a:latin typeface="Calibri"/>
            </a:rPr>
            <a:t> </a:t>
          </a: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9525</xdr:colOff>
      <xdr:row>4</xdr:row>
      <xdr:rowOff>0</xdr:rowOff>
    </xdr:to>
    <xdr:pic>
      <xdr:nvPicPr>
        <xdr:cNvPr id="1033" name="Picture 16" descr="gsalogo92x92color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7239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6:G438" totalsRowCount="1">
  <autoFilter ref="A6:G437"/>
  <tableColumns count="7">
    <tableColumn id="1" name="Building NumberProject Number" totalsRowLabel="Total" dataDxfId="7" totalsRowDxfId="6" dataCellStyle="Normal 2">
      <calculatedColumnFormula>LEFT(C7,6)&amp;D7</calculatedColumnFormula>
    </tableColumn>
    <tableColumn id="2" name="Region" totalsRowFunction="count" dataDxfId="5" totalsRowDxfId="4" dataCellStyle="Normal 2"/>
    <tableColumn id="3" name="Building Number" dataCellStyle="Normal 2"/>
    <tableColumn id="4" name="Project Number" dataCellStyle="Normal 2"/>
    <tableColumn id="5" name="Project Name" dataCellStyle="Normal 2"/>
    <tableColumn id="6" name="Total Obligations  as of 11/30/12" totalsRowFunction="sum" dataDxfId="3" totalsRowDxfId="2" dataCellStyle="Normal 2"/>
    <tableColumn id="7" name="Total Outlays as of 11/30/12" totalsRowFunction="sum" dataDxfId="1" totalsRowDxfId="0" dataCellStyle="Normal 2"/>
  </tableColumns>
  <tableStyleInfo name="TableStyleMedium16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38"/>
  <sheetViews>
    <sheetView tabSelected="1" topLeftCell="B1" workbookViewId="0">
      <pane ySplit="6" topLeftCell="A7" activePane="bottomLeft" state="frozen"/>
      <selection pane="bottomLeft" activeCell="E26" sqref="E26"/>
    </sheetView>
  </sheetViews>
  <sheetFormatPr defaultColWidth="0" defaultRowHeight="12" zeroHeight="1"/>
  <cols>
    <col min="1" max="1" width="17" style="25" hidden="1" customWidth="1"/>
    <col min="2" max="2" width="7" style="31" customWidth="1"/>
    <col min="3" max="4" width="9.5703125" style="25" customWidth="1"/>
    <col min="5" max="5" width="52.42578125" style="25" customWidth="1"/>
    <col min="6" max="7" width="17" style="31" customWidth="1"/>
    <col min="8" max="14" width="0" style="25" hidden="1" customWidth="1"/>
    <col min="15" max="16384" width="13.42578125" style="25" hidden="1"/>
  </cols>
  <sheetData>
    <row r="1" spans="1:7" ht="15">
      <c r="B1" s="26"/>
      <c r="C1" s="27"/>
      <c r="D1" s="27"/>
      <c r="E1" s="27"/>
      <c r="F1" s="28"/>
      <c r="G1" s="28"/>
    </row>
    <row r="2" spans="1:7" ht="15">
      <c r="B2" s="26"/>
      <c r="C2" s="27"/>
      <c r="D2" s="27"/>
      <c r="E2" s="27"/>
      <c r="F2" s="28"/>
      <c r="G2" s="28"/>
    </row>
    <row r="3" spans="1:7" ht="15">
      <c r="B3" s="26"/>
      <c r="C3" s="27"/>
      <c r="D3" s="27"/>
      <c r="E3" s="27"/>
      <c r="F3" s="28"/>
      <c r="G3" s="28"/>
    </row>
    <row r="4" spans="1:7" ht="15">
      <c r="B4" s="26"/>
      <c r="C4" s="27"/>
      <c r="D4" s="27"/>
      <c r="E4" s="27"/>
      <c r="F4" s="28"/>
      <c r="G4" s="28"/>
    </row>
    <row r="5" spans="1:7" ht="15.75" thickBot="1">
      <c r="B5" s="26"/>
      <c r="C5" s="27"/>
      <c r="D5" s="27"/>
      <c r="E5" s="27"/>
      <c r="F5" s="28"/>
      <c r="G5" s="28"/>
    </row>
    <row r="6" spans="1:7" ht="45">
      <c r="A6" s="29" t="s">
        <v>1485</v>
      </c>
      <c r="B6" s="29" t="s">
        <v>1484</v>
      </c>
      <c r="C6" s="29" t="s">
        <v>1429</v>
      </c>
      <c r="D6" s="29" t="s">
        <v>1430</v>
      </c>
      <c r="E6" s="29" t="s">
        <v>1420</v>
      </c>
      <c r="F6" s="30" t="s">
        <v>1486</v>
      </c>
      <c r="G6" s="30" t="s">
        <v>1487</v>
      </c>
    </row>
    <row r="7" spans="1:7">
      <c r="A7" s="25" t="str">
        <f t="shared" ref="A7:A70" si="0">LEFT(C7,6)&amp;D7</f>
        <v>CT0053RCT00083</v>
      </c>
      <c r="B7" s="31">
        <v>1</v>
      </c>
      <c r="C7" s="25" t="s">
        <v>402</v>
      </c>
      <c r="D7" s="25" t="s">
        <v>401</v>
      </c>
      <c r="E7" s="25" t="s">
        <v>1433</v>
      </c>
      <c r="F7" s="32">
        <v>82383.16</v>
      </c>
      <c r="G7" s="32">
        <v>82383.16</v>
      </c>
    </row>
    <row r="8" spans="1:7">
      <c r="A8" s="25" t="str">
        <f t="shared" si="0"/>
        <v>MA0051RMA00236</v>
      </c>
      <c r="B8" s="31">
        <v>1</v>
      </c>
      <c r="C8" s="25" t="s">
        <v>354</v>
      </c>
      <c r="D8" s="25" t="s">
        <v>353</v>
      </c>
      <c r="E8" s="25" t="s">
        <v>1433</v>
      </c>
      <c r="F8" s="32">
        <v>56113.200000000004</v>
      </c>
      <c r="G8" s="32">
        <v>56113.200000000004</v>
      </c>
    </row>
    <row r="9" spans="1:7">
      <c r="A9" s="25" t="str">
        <f t="shared" si="0"/>
        <v>MA0129RMA00240</v>
      </c>
      <c r="B9" s="31">
        <v>1</v>
      </c>
      <c r="C9" s="25" t="s">
        <v>420</v>
      </c>
      <c r="D9" s="25" t="s">
        <v>419</v>
      </c>
      <c r="E9" s="25" t="s">
        <v>1433</v>
      </c>
      <c r="F9" s="32">
        <v>39654.559999999998</v>
      </c>
      <c r="G9" s="32">
        <v>39654.560000000005</v>
      </c>
    </row>
    <row r="10" spans="1:7">
      <c r="A10" s="25" t="str">
        <f t="shared" si="0"/>
        <v>MA0153VMA00011</v>
      </c>
      <c r="B10" s="31">
        <v>1</v>
      </c>
      <c r="C10" s="25" t="s">
        <v>478</v>
      </c>
      <c r="D10" s="25" t="s">
        <v>477</v>
      </c>
      <c r="E10" s="25" t="s">
        <v>1266</v>
      </c>
      <c r="F10" s="32">
        <v>294107.64</v>
      </c>
      <c r="G10" s="32">
        <v>270107.64</v>
      </c>
    </row>
    <row r="11" spans="1:7">
      <c r="A11" s="25" t="str">
        <f t="shared" si="0"/>
        <v>MA0158RMA00237</v>
      </c>
      <c r="B11" s="31">
        <v>1</v>
      </c>
      <c r="C11" s="25" t="s">
        <v>417</v>
      </c>
      <c r="D11" s="25" t="s">
        <v>416</v>
      </c>
      <c r="E11" s="25" t="s">
        <v>1433</v>
      </c>
      <c r="F11" s="32">
        <v>38077.800000000003</v>
      </c>
      <c r="G11" s="32">
        <v>38077.800000000003</v>
      </c>
    </row>
    <row r="12" spans="1:7">
      <c r="A12" s="25" t="str">
        <f t="shared" si="0"/>
        <v>ME0068RME00043</v>
      </c>
      <c r="B12" s="31">
        <v>1</v>
      </c>
      <c r="C12" s="25" t="s">
        <v>377</v>
      </c>
      <c r="D12" s="25" t="s">
        <v>376</v>
      </c>
      <c r="E12" s="25" t="s">
        <v>1433</v>
      </c>
      <c r="F12" s="32">
        <v>34572.270000000004</v>
      </c>
      <c r="G12" s="32">
        <v>34572.269999999997</v>
      </c>
    </row>
    <row r="13" spans="1:7">
      <c r="A13" s="25" t="str">
        <f t="shared" si="0"/>
        <v>ME0823RME00033</v>
      </c>
      <c r="B13" s="31">
        <v>1</v>
      </c>
      <c r="C13" s="25" t="s">
        <v>13</v>
      </c>
      <c r="D13" s="25" t="s">
        <v>12</v>
      </c>
      <c r="E13" s="25" t="s">
        <v>1276</v>
      </c>
      <c r="F13" s="32">
        <v>1963897.3200000003</v>
      </c>
      <c r="G13" s="32">
        <v>1963897.3199999998</v>
      </c>
    </row>
    <row r="14" spans="1:7">
      <c r="A14" s="25" t="str">
        <f t="shared" si="0"/>
        <v>NH0037RNH00020</v>
      </c>
      <c r="B14" s="31">
        <v>1</v>
      </c>
      <c r="C14" s="25" t="s">
        <v>451</v>
      </c>
      <c r="D14" s="25" t="s">
        <v>450</v>
      </c>
      <c r="E14" s="25" t="s">
        <v>1433</v>
      </c>
      <c r="F14" s="32">
        <v>55637.630000000005</v>
      </c>
      <c r="G14" s="32">
        <v>55637.630000000005</v>
      </c>
    </row>
    <row r="15" spans="1:7">
      <c r="A15" s="25" t="str">
        <f t="shared" si="0"/>
        <v>VT0018RVT00047</v>
      </c>
      <c r="B15" s="31">
        <v>1</v>
      </c>
      <c r="C15" s="25" t="s">
        <v>258</v>
      </c>
      <c r="D15" s="25" t="s">
        <v>259</v>
      </c>
      <c r="E15" s="25" t="s">
        <v>1398</v>
      </c>
      <c r="F15" s="32">
        <v>70599.47</v>
      </c>
      <c r="G15" s="32">
        <v>70599.47</v>
      </c>
    </row>
    <row r="16" spans="1:7">
      <c r="A16" s="25" t="str">
        <f t="shared" si="0"/>
        <v>VT0018RVT00051</v>
      </c>
      <c r="B16" s="31">
        <v>1</v>
      </c>
      <c r="C16" s="25" t="s">
        <v>258</v>
      </c>
      <c r="D16" s="25" t="s">
        <v>257</v>
      </c>
      <c r="E16" s="25" t="s">
        <v>1398</v>
      </c>
      <c r="F16" s="32">
        <v>94630.94</v>
      </c>
      <c r="G16" s="32">
        <v>94630.939999999988</v>
      </c>
    </row>
    <row r="17" spans="1:7">
      <c r="A17" s="25" t="str">
        <f t="shared" si="0"/>
        <v>VT0026RVT00049</v>
      </c>
      <c r="B17" s="31">
        <v>1</v>
      </c>
      <c r="C17" s="25" t="s">
        <v>356</v>
      </c>
      <c r="D17" s="25" t="s">
        <v>355</v>
      </c>
      <c r="E17" s="25" t="s">
        <v>1433</v>
      </c>
      <c r="F17" s="32">
        <v>50814.039999999994</v>
      </c>
      <c r="G17" s="32">
        <v>50814.040000000008</v>
      </c>
    </row>
    <row r="18" spans="1:7">
      <c r="A18" s="25" t="str">
        <f t="shared" si="0"/>
        <v>VT0057RVT00048</v>
      </c>
      <c r="B18" s="31">
        <v>1</v>
      </c>
      <c r="C18" s="25" t="s">
        <v>375</v>
      </c>
      <c r="D18" s="25" t="s">
        <v>374</v>
      </c>
      <c r="E18" s="25" t="s">
        <v>1433</v>
      </c>
      <c r="F18" s="32">
        <v>83788.400000000009</v>
      </c>
      <c r="G18" s="32">
        <v>83788.399999999994</v>
      </c>
    </row>
    <row r="19" spans="1:7">
      <c r="A19" s="25" t="str">
        <f t="shared" si="0"/>
        <v>NJ0056RNJ00152</v>
      </c>
      <c r="B19" s="31">
        <v>2</v>
      </c>
      <c r="C19" s="25" t="s">
        <v>17</v>
      </c>
      <c r="D19" s="25" t="s">
        <v>16</v>
      </c>
      <c r="E19" s="25" t="s">
        <v>1310</v>
      </c>
      <c r="F19" s="32">
        <v>1165522.8299999998</v>
      </c>
      <c r="G19" s="32">
        <v>1165522.8299999998</v>
      </c>
    </row>
    <row r="20" spans="1:7">
      <c r="A20" s="25" t="str">
        <f t="shared" si="0"/>
        <v>NJ0108VNJ00005</v>
      </c>
      <c r="B20" s="31">
        <v>2</v>
      </c>
      <c r="C20" s="25" t="s">
        <v>7</v>
      </c>
      <c r="D20" s="25" t="s">
        <v>6</v>
      </c>
      <c r="E20" s="25" t="s">
        <v>1312</v>
      </c>
      <c r="F20" s="32">
        <v>215940.2</v>
      </c>
      <c r="G20" s="32">
        <v>215940.2</v>
      </c>
    </row>
    <row r="21" spans="1:7">
      <c r="A21" s="25" t="str">
        <f t="shared" si="0"/>
        <v>NJ0108RNJ00170</v>
      </c>
      <c r="B21" s="31">
        <v>2</v>
      </c>
      <c r="C21" s="25" t="s">
        <v>7</v>
      </c>
      <c r="D21" s="25" t="s">
        <v>539</v>
      </c>
      <c r="E21" s="25" t="s">
        <v>1312</v>
      </c>
      <c r="F21" s="32">
        <v>446504.82</v>
      </c>
      <c r="G21" s="32">
        <v>446504.82</v>
      </c>
    </row>
    <row r="22" spans="1:7">
      <c r="A22" s="25" t="str">
        <f t="shared" si="0"/>
        <v>NY0311RNY00356</v>
      </c>
      <c r="B22" s="31">
        <v>2</v>
      </c>
      <c r="C22" s="25" t="s">
        <v>673</v>
      </c>
      <c r="D22" s="25" t="s">
        <v>672</v>
      </c>
      <c r="E22" s="25" t="s">
        <v>1332</v>
      </c>
      <c r="F22" s="32">
        <v>94000</v>
      </c>
      <c r="G22" s="32">
        <v>94000</v>
      </c>
    </row>
    <row r="23" spans="1:7">
      <c r="A23" s="25" t="str">
        <f t="shared" si="0"/>
        <v>NY0369RNY00418</v>
      </c>
      <c r="B23" s="31">
        <v>2</v>
      </c>
      <c r="C23" s="25" t="s">
        <v>341</v>
      </c>
      <c r="D23" s="25" t="s">
        <v>340</v>
      </c>
      <c r="E23" s="25" t="s">
        <v>1333</v>
      </c>
      <c r="F23" s="32">
        <v>186240</v>
      </c>
      <c r="G23" s="32">
        <v>186240</v>
      </c>
    </row>
    <row r="24" spans="1:7">
      <c r="A24" s="25" t="str">
        <f t="shared" si="0"/>
        <v>PR0003RPR00033</v>
      </c>
      <c r="B24" s="31">
        <v>2</v>
      </c>
      <c r="C24" s="25" t="s">
        <v>464</v>
      </c>
      <c r="D24" s="25" t="s">
        <v>463</v>
      </c>
      <c r="E24" s="25" t="s">
        <v>1360</v>
      </c>
      <c r="F24" s="32">
        <v>70526.66</v>
      </c>
      <c r="G24" s="32">
        <v>70526.66</v>
      </c>
    </row>
    <row r="25" spans="1:7">
      <c r="A25" s="25" t="str">
        <f t="shared" si="0"/>
        <v>PR0017RPR00032</v>
      </c>
      <c r="B25" s="31">
        <v>2</v>
      </c>
      <c r="C25" s="25" t="s">
        <v>537</v>
      </c>
      <c r="D25" s="25" t="s">
        <v>536</v>
      </c>
      <c r="E25" s="25" t="s">
        <v>1360</v>
      </c>
      <c r="F25" s="32">
        <v>47500</v>
      </c>
      <c r="G25" s="32">
        <v>47500</v>
      </c>
    </row>
    <row r="26" spans="1:7">
      <c r="A26" s="25" t="str">
        <f t="shared" si="0"/>
        <v>PR4006VPR00008</v>
      </c>
      <c r="B26" s="31">
        <v>2</v>
      </c>
      <c r="C26" s="25" t="s">
        <v>269</v>
      </c>
      <c r="D26" s="25" t="s">
        <v>1478</v>
      </c>
      <c r="E26" s="25" t="s">
        <v>1360</v>
      </c>
      <c r="F26" s="32">
        <v>4.6566128730773926E-10</v>
      </c>
      <c r="G26" s="32">
        <v>0</v>
      </c>
    </row>
    <row r="27" spans="1:7">
      <c r="A27" s="25" t="str">
        <f t="shared" si="0"/>
        <v>PR4006RPR00038</v>
      </c>
      <c r="B27" s="31">
        <v>2</v>
      </c>
      <c r="C27" s="25" t="s">
        <v>269</v>
      </c>
      <c r="D27" s="25" t="s">
        <v>516</v>
      </c>
      <c r="E27" s="25" t="s">
        <v>1360</v>
      </c>
      <c r="F27" s="32">
        <v>2200979.5500000007</v>
      </c>
      <c r="G27" s="32">
        <v>2200979.5500000003</v>
      </c>
    </row>
    <row r="28" spans="1:7">
      <c r="A28" s="25" t="str">
        <f t="shared" si="0"/>
        <v>MD0055RMD00312</v>
      </c>
      <c r="B28" s="31">
        <v>3</v>
      </c>
      <c r="C28" s="25" t="s">
        <v>382</v>
      </c>
      <c r="D28" s="25" t="s">
        <v>381</v>
      </c>
      <c r="E28" s="25" t="s">
        <v>1268</v>
      </c>
      <c r="F28" s="32">
        <v>146786.34</v>
      </c>
      <c r="G28" s="32">
        <v>146786.34</v>
      </c>
    </row>
    <row r="29" spans="1:7">
      <c r="A29" s="25" t="str">
        <f t="shared" si="0"/>
        <v>MD1440RMD00313</v>
      </c>
      <c r="B29" s="31">
        <v>3</v>
      </c>
      <c r="C29" s="25" t="s">
        <v>494</v>
      </c>
      <c r="D29" s="25" t="s">
        <v>493</v>
      </c>
      <c r="E29" s="25" t="s">
        <v>1274</v>
      </c>
      <c r="F29" s="32">
        <v>73186.78</v>
      </c>
      <c r="G29" s="32">
        <v>73186.78</v>
      </c>
    </row>
    <row r="30" spans="1:7">
      <c r="A30" s="25" t="str">
        <f t="shared" si="0"/>
        <v>NJ0015RNJ00159</v>
      </c>
      <c r="B30" s="31">
        <v>3</v>
      </c>
      <c r="C30" s="25" t="s">
        <v>206</v>
      </c>
      <c r="D30" s="25" t="s">
        <v>205</v>
      </c>
      <c r="E30" s="25" t="s">
        <v>1309</v>
      </c>
      <c r="F30" s="32">
        <v>47611.249999999985</v>
      </c>
      <c r="G30" s="32">
        <v>47611.25</v>
      </c>
    </row>
    <row r="31" spans="1:7">
      <c r="A31" s="25" t="str">
        <f t="shared" si="0"/>
        <v>NJ0088RNJ00160</v>
      </c>
      <c r="B31" s="31">
        <v>3</v>
      </c>
      <c r="C31" s="25" t="s">
        <v>192</v>
      </c>
      <c r="D31" s="25" t="s">
        <v>191</v>
      </c>
      <c r="E31" s="25" t="s">
        <v>1311</v>
      </c>
      <c r="F31" s="32">
        <v>50730.000000000007</v>
      </c>
      <c r="G31" s="32">
        <v>50730.000000000007</v>
      </c>
    </row>
    <row r="32" spans="1:7">
      <c r="A32" s="25" t="str">
        <f t="shared" si="0"/>
        <v>NJ5002RNJ00161</v>
      </c>
      <c r="B32" s="31">
        <v>3</v>
      </c>
      <c r="C32" s="25" t="s">
        <v>190</v>
      </c>
      <c r="D32" s="25" t="s">
        <v>189</v>
      </c>
      <c r="E32" s="25" t="s">
        <v>1313</v>
      </c>
      <c r="F32" s="32">
        <v>50730.000000000007</v>
      </c>
      <c r="G32" s="32">
        <v>50730</v>
      </c>
    </row>
    <row r="33" spans="1:7">
      <c r="A33" s="25" t="str">
        <f t="shared" si="0"/>
        <v>NJ5003RNJ00158</v>
      </c>
      <c r="B33" s="31">
        <v>3</v>
      </c>
      <c r="C33" s="25" t="s">
        <v>188</v>
      </c>
      <c r="D33" s="25" t="s">
        <v>187</v>
      </c>
      <c r="E33" s="25" t="s">
        <v>1314</v>
      </c>
      <c r="F33" s="32">
        <v>47611.25</v>
      </c>
      <c r="G33" s="32">
        <v>47611.25</v>
      </c>
    </row>
    <row r="34" spans="1:7">
      <c r="A34" s="25" t="str">
        <f t="shared" si="0"/>
        <v>PA0064RPA00494</v>
      </c>
      <c r="B34" s="31">
        <v>3</v>
      </c>
      <c r="C34" s="25" t="s">
        <v>117</v>
      </c>
      <c r="D34" s="25" t="s">
        <v>116</v>
      </c>
      <c r="E34" s="25" t="s">
        <v>1349</v>
      </c>
      <c r="F34" s="32">
        <v>50217.590000000004</v>
      </c>
      <c r="G34" s="32">
        <v>50217.590000000004</v>
      </c>
    </row>
    <row r="35" spans="1:7">
      <c r="A35" s="25" t="str">
        <f t="shared" si="0"/>
        <v>PA0143RPA00469</v>
      </c>
      <c r="B35" s="31">
        <v>3</v>
      </c>
      <c r="C35" s="25" t="s">
        <v>3</v>
      </c>
      <c r="D35" s="25" t="s">
        <v>2</v>
      </c>
      <c r="E35" s="25" t="s">
        <v>1350</v>
      </c>
      <c r="F35" s="32">
        <v>35597</v>
      </c>
      <c r="G35" s="32">
        <v>35597</v>
      </c>
    </row>
    <row r="36" spans="1:7">
      <c r="A36" s="25" t="str">
        <f t="shared" si="0"/>
        <v>PA0143RPA00490</v>
      </c>
      <c r="B36" s="31">
        <v>3</v>
      </c>
      <c r="C36" s="25" t="s">
        <v>3</v>
      </c>
      <c r="D36" s="25" t="s">
        <v>648</v>
      </c>
      <c r="E36" s="25" t="s">
        <v>1350</v>
      </c>
      <c r="F36" s="32">
        <v>28549</v>
      </c>
      <c r="G36" s="32">
        <v>28549</v>
      </c>
    </row>
    <row r="37" spans="1:7">
      <c r="A37" s="25" t="str">
        <f t="shared" si="0"/>
        <v>PA0158RPA00489</v>
      </c>
      <c r="B37" s="31">
        <v>3</v>
      </c>
      <c r="C37" s="25" t="s">
        <v>85</v>
      </c>
      <c r="D37" s="25" t="s">
        <v>94</v>
      </c>
      <c r="E37" s="25" t="s">
        <v>1351</v>
      </c>
      <c r="F37" s="32">
        <v>147522.26</v>
      </c>
      <c r="G37" s="32">
        <v>147522.26</v>
      </c>
    </row>
    <row r="38" spans="1:7">
      <c r="A38" s="25" t="str">
        <f t="shared" si="0"/>
        <v>PA0158RPA22457</v>
      </c>
      <c r="B38" s="31">
        <v>3</v>
      </c>
      <c r="C38" s="25" t="s">
        <v>85</v>
      </c>
      <c r="D38" s="25" t="s">
        <v>103</v>
      </c>
      <c r="E38" s="25" t="s">
        <v>1351</v>
      </c>
      <c r="F38" s="32">
        <v>780510.56</v>
      </c>
      <c r="G38" s="32">
        <v>780510.56</v>
      </c>
    </row>
    <row r="39" spans="1:7">
      <c r="A39" s="25" t="str">
        <f t="shared" si="0"/>
        <v>PA0158RPA00474</v>
      </c>
      <c r="B39" s="31">
        <v>3</v>
      </c>
      <c r="C39" s="25" t="s">
        <v>85</v>
      </c>
      <c r="D39" s="25" t="s">
        <v>138</v>
      </c>
      <c r="E39" s="25" t="s">
        <v>1351</v>
      </c>
      <c r="F39" s="32">
        <v>979859.4</v>
      </c>
      <c r="G39" s="32">
        <v>979859.4</v>
      </c>
    </row>
    <row r="40" spans="1:7">
      <c r="A40" s="25" t="str">
        <f t="shared" si="0"/>
        <v>PA0158RPA00392</v>
      </c>
      <c r="B40" s="31">
        <v>3</v>
      </c>
      <c r="C40" s="25" t="s">
        <v>85</v>
      </c>
      <c r="D40" s="25" t="s">
        <v>84</v>
      </c>
      <c r="E40" s="25" t="s">
        <v>1351</v>
      </c>
      <c r="F40" s="32">
        <v>1139993.3900000001</v>
      </c>
      <c r="G40" s="32">
        <v>1139993.3900000001</v>
      </c>
    </row>
    <row r="41" spans="1:7">
      <c r="A41" s="25" t="str">
        <f t="shared" si="0"/>
        <v>PA0182RPA00491</v>
      </c>
      <c r="B41" s="31">
        <v>3</v>
      </c>
      <c r="C41" s="25" t="s">
        <v>462</v>
      </c>
      <c r="D41" s="25" t="s">
        <v>497</v>
      </c>
      <c r="E41" s="25" t="s">
        <v>1352</v>
      </c>
      <c r="F41" s="32">
        <v>36993.15</v>
      </c>
      <c r="G41" s="32">
        <v>36993.15</v>
      </c>
    </row>
    <row r="42" spans="1:7">
      <c r="A42" s="25" t="str">
        <f t="shared" si="0"/>
        <v>PA0182RPA00450</v>
      </c>
      <c r="B42" s="31">
        <v>3</v>
      </c>
      <c r="C42" s="25" t="s">
        <v>462</v>
      </c>
      <c r="D42" s="25" t="s">
        <v>669</v>
      </c>
      <c r="E42" s="25" t="s">
        <v>1352</v>
      </c>
      <c r="F42" s="32">
        <v>312487.19999999995</v>
      </c>
      <c r="G42" s="32">
        <v>312487.2</v>
      </c>
    </row>
    <row r="43" spans="1:7">
      <c r="A43" s="25" t="str">
        <f t="shared" si="0"/>
        <v>PA0182RPA00451</v>
      </c>
      <c r="B43" s="31">
        <v>3</v>
      </c>
      <c r="C43" s="25" t="s">
        <v>462</v>
      </c>
      <c r="D43" s="25" t="s">
        <v>461</v>
      </c>
      <c r="E43" s="25" t="s">
        <v>1353</v>
      </c>
      <c r="F43" s="32">
        <v>2634489.62</v>
      </c>
      <c r="G43" s="32">
        <v>2609324.62</v>
      </c>
    </row>
    <row r="44" spans="1:7">
      <c r="A44" s="25" t="str">
        <f t="shared" si="0"/>
        <v>PA0233RPA00488</v>
      </c>
      <c r="B44" s="31">
        <v>3</v>
      </c>
      <c r="C44" s="25" t="s">
        <v>113</v>
      </c>
      <c r="D44" s="25" t="s">
        <v>112</v>
      </c>
      <c r="E44" s="25" t="s">
        <v>1354</v>
      </c>
      <c r="F44" s="32">
        <v>155949.57</v>
      </c>
      <c r="G44" s="32">
        <v>155949.57</v>
      </c>
    </row>
    <row r="45" spans="1:7">
      <c r="A45" s="25" t="str">
        <f t="shared" si="0"/>
        <v>PA0267RPA00493</v>
      </c>
      <c r="B45" s="31">
        <v>3</v>
      </c>
      <c r="C45" s="25" t="s">
        <v>509</v>
      </c>
      <c r="D45" s="25" t="s">
        <v>508</v>
      </c>
      <c r="E45" s="25" t="s">
        <v>1355</v>
      </c>
      <c r="F45" s="32">
        <v>51981</v>
      </c>
      <c r="G45" s="32">
        <v>51981</v>
      </c>
    </row>
    <row r="46" spans="1:7">
      <c r="A46" s="25" t="str">
        <f t="shared" si="0"/>
        <v>PA0477RPA00530</v>
      </c>
      <c r="B46" s="31">
        <v>3</v>
      </c>
      <c r="C46" s="25" t="s">
        <v>267</v>
      </c>
      <c r="D46" s="25" t="s">
        <v>270</v>
      </c>
      <c r="E46" s="25" t="s">
        <v>1356</v>
      </c>
      <c r="F46" s="32">
        <v>378209</v>
      </c>
      <c r="G46" s="32">
        <v>378209</v>
      </c>
    </row>
    <row r="47" spans="1:7">
      <c r="A47" s="25" t="str">
        <f t="shared" si="0"/>
        <v>PA0477RPA00461</v>
      </c>
      <c r="B47" s="31">
        <v>3</v>
      </c>
      <c r="C47" s="25" t="s">
        <v>267</v>
      </c>
      <c r="D47" s="25" t="s">
        <v>266</v>
      </c>
      <c r="E47" s="25" t="s">
        <v>1356</v>
      </c>
      <c r="F47" s="32">
        <v>1483092.13</v>
      </c>
      <c r="G47" s="32">
        <v>1483092.1300000001</v>
      </c>
    </row>
    <row r="48" spans="1:7">
      <c r="A48" s="25" t="str">
        <f t="shared" si="0"/>
        <v>PA0588RPA00478</v>
      </c>
      <c r="B48" s="31">
        <v>3</v>
      </c>
      <c r="C48" s="25" t="s">
        <v>29</v>
      </c>
      <c r="D48" s="25" t="s">
        <v>70</v>
      </c>
      <c r="E48" s="25" t="s">
        <v>1357</v>
      </c>
      <c r="F48" s="32">
        <v>11004.1</v>
      </c>
      <c r="G48" s="32">
        <v>11004.1</v>
      </c>
    </row>
    <row r="49" spans="1:7">
      <c r="A49" s="25" t="str">
        <f t="shared" si="0"/>
        <v>PA0588RPA00479</v>
      </c>
      <c r="B49" s="31">
        <v>3</v>
      </c>
      <c r="C49" s="25" t="s">
        <v>29</v>
      </c>
      <c r="D49" s="25" t="s">
        <v>28</v>
      </c>
      <c r="E49" s="25" t="s">
        <v>1357</v>
      </c>
      <c r="F49" s="32">
        <v>276539.25</v>
      </c>
      <c r="G49" s="32">
        <v>276539.25</v>
      </c>
    </row>
    <row r="50" spans="1:7">
      <c r="A50" s="25" t="str">
        <f t="shared" si="0"/>
        <v>PA0591RPA00531</v>
      </c>
      <c r="B50" s="31">
        <v>3</v>
      </c>
      <c r="C50" s="25" t="s">
        <v>265</v>
      </c>
      <c r="D50" s="25" t="s">
        <v>268</v>
      </c>
      <c r="E50" s="25" t="s">
        <v>1356</v>
      </c>
      <c r="F50" s="32">
        <v>7744</v>
      </c>
      <c r="G50" s="32">
        <v>7744</v>
      </c>
    </row>
    <row r="51" spans="1:7">
      <c r="A51" s="25" t="str">
        <f t="shared" si="0"/>
        <v>PA0591RPA00486</v>
      </c>
      <c r="B51" s="31">
        <v>3</v>
      </c>
      <c r="C51" s="25" t="s">
        <v>265</v>
      </c>
      <c r="D51" s="25" t="s">
        <v>264</v>
      </c>
      <c r="E51" s="25" t="s">
        <v>1356</v>
      </c>
      <c r="F51" s="32">
        <v>67618</v>
      </c>
      <c r="G51" s="32">
        <v>67618</v>
      </c>
    </row>
    <row r="52" spans="1:7">
      <c r="A52" s="25" t="str">
        <f t="shared" si="0"/>
        <v>PA0599RPA00468</v>
      </c>
      <c r="B52" s="31">
        <v>3</v>
      </c>
      <c r="C52" s="25" t="s">
        <v>427</v>
      </c>
      <c r="D52" s="25" t="s">
        <v>668</v>
      </c>
      <c r="E52" s="25" t="s">
        <v>1352</v>
      </c>
      <c r="F52" s="32">
        <v>212199.28000000003</v>
      </c>
      <c r="G52" s="32">
        <v>212199.27999999997</v>
      </c>
    </row>
    <row r="53" spans="1:7">
      <c r="A53" s="25" t="str">
        <f t="shared" si="0"/>
        <v>PA0599RPA00492</v>
      </c>
      <c r="B53" s="31">
        <v>3</v>
      </c>
      <c r="C53" s="25" t="s">
        <v>427</v>
      </c>
      <c r="D53" s="25" t="s">
        <v>426</v>
      </c>
      <c r="E53" s="25" t="s">
        <v>1352</v>
      </c>
      <c r="F53" s="32">
        <v>36993.15</v>
      </c>
      <c r="G53" s="32">
        <v>36993.15</v>
      </c>
    </row>
    <row r="54" spans="1:7">
      <c r="A54" s="25" t="str">
        <f t="shared" si="0"/>
        <v>PA0600RPA00495</v>
      </c>
      <c r="B54" s="31">
        <v>3</v>
      </c>
      <c r="C54" s="25" t="s">
        <v>115</v>
      </c>
      <c r="D54" s="25" t="s">
        <v>114</v>
      </c>
      <c r="E54" s="25" t="s">
        <v>1359</v>
      </c>
      <c r="F54" s="32">
        <v>50715.909999999996</v>
      </c>
      <c r="G54" s="32">
        <v>50715.909999999996</v>
      </c>
    </row>
    <row r="55" spans="1:7">
      <c r="A55" s="25" t="str">
        <f t="shared" si="0"/>
        <v>VA0002RVA00171</v>
      </c>
      <c r="B55" s="31">
        <v>3</v>
      </c>
      <c r="C55" s="25" t="s">
        <v>150</v>
      </c>
      <c r="D55" s="25" t="s">
        <v>149</v>
      </c>
      <c r="E55" s="25" t="s">
        <v>1391</v>
      </c>
      <c r="F55" s="32">
        <v>677954.75</v>
      </c>
      <c r="G55" s="32">
        <v>677954.75</v>
      </c>
    </row>
    <row r="56" spans="1:7">
      <c r="A56" s="25" t="str">
        <f t="shared" si="0"/>
        <v>VA0054RVA00189</v>
      </c>
      <c r="B56" s="31">
        <v>3</v>
      </c>
      <c r="C56" s="25" t="s">
        <v>74</v>
      </c>
      <c r="D56" s="25" t="s">
        <v>73</v>
      </c>
      <c r="E56" s="25" t="s">
        <v>1392</v>
      </c>
      <c r="F56" s="32">
        <v>1559001.33</v>
      </c>
      <c r="G56" s="32">
        <v>1559001.33</v>
      </c>
    </row>
    <row r="57" spans="1:7">
      <c r="A57" s="25" t="str">
        <f t="shared" si="0"/>
        <v>VA0062RVA00170</v>
      </c>
      <c r="B57" s="31">
        <v>3</v>
      </c>
      <c r="C57" s="25" t="s">
        <v>655</v>
      </c>
      <c r="D57" s="25" t="s">
        <v>654</v>
      </c>
      <c r="E57" s="25" t="s">
        <v>1393</v>
      </c>
      <c r="F57" s="32">
        <v>406539.61</v>
      </c>
      <c r="G57" s="32">
        <v>406539.61000000004</v>
      </c>
    </row>
    <row r="58" spans="1:7">
      <c r="A58" s="25" t="str">
        <f t="shared" si="0"/>
        <v>VA0095RVA00262</v>
      </c>
      <c r="B58" s="31">
        <v>3</v>
      </c>
      <c r="C58" s="25" t="s">
        <v>409</v>
      </c>
      <c r="D58" s="25" t="s">
        <v>408</v>
      </c>
      <c r="E58" s="25" t="s">
        <v>1394</v>
      </c>
      <c r="F58" s="32">
        <v>2481472.12</v>
      </c>
      <c r="G58" s="32">
        <v>563909.8600000001</v>
      </c>
    </row>
    <row r="59" spans="1:7">
      <c r="A59" s="25" t="str">
        <f t="shared" si="0"/>
        <v>VA0095RVA00263</v>
      </c>
      <c r="B59" s="31">
        <v>3</v>
      </c>
      <c r="C59" s="25" t="s">
        <v>409</v>
      </c>
      <c r="D59" s="25" t="s">
        <v>490</v>
      </c>
      <c r="E59" s="25" t="s">
        <v>1394</v>
      </c>
      <c r="F59" s="32">
        <v>1169159.3999999999</v>
      </c>
      <c r="G59" s="32">
        <v>1035700.8200000002</v>
      </c>
    </row>
    <row r="60" spans="1:7">
      <c r="A60" s="25" t="str">
        <f t="shared" si="0"/>
        <v>VA0686RVA00190</v>
      </c>
      <c r="B60" s="31">
        <v>3</v>
      </c>
      <c r="C60" s="25" t="s">
        <v>89</v>
      </c>
      <c r="D60" s="25" t="s">
        <v>88</v>
      </c>
      <c r="E60" s="25" t="s">
        <v>1397</v>
      </c>
      <c r="F60" s="32">
        <v>706550.74</v>
      </c>
      <c r="G60" s="32">
        <v>706550.74</v>
      </c>
    </row>
    <row r="61" spans="1:7">
      <c r="A61" s="25" t="str">
        <f t="shared" si="0"/>
        <v>WV0003RWV00151</v>
      </c>
      <c r="B61" s="31">
        <v>3</v>
      </c>
      <c r="C61" s="25" t="s">
        <v>15</v>
      </c>
      <c r="D61" s="25" t="s">
        <v>218</v>
      </c>
      <c r="E61" s="25" t="s">
        <v>1416</v>
      </c>
      <c r="F61" s="32">
        <v>549226.47000000009</v>
      </c>
      <c r="G61" s="32">
        <v>549226.47</v>
      </c>
    </row>
    <row r="62" spans="1:7">
      <c r="A62" s="25" t="str">
        <f t="shared" si="0"/>
        <v>WV0003RWV00152</v>
      </c>
      <c r="B62" s="31">
        <v>3</v>
      </c>
      <c r="C62" s="25" t="s">
        <v>15</v>
      </c>
      <c r="D62" s="25" t="s">
        <v>14</v>
      </c>
      <c r="E62" s="25" t="s">
        <v>1417</v>
      </c>
      <c r="F62" s="32">
        <v>569926</v>
      </c>
      <c r="G62" s="32">
        <v>569926</v>
      </c>
    </row>
    <row r="63" spans="1:7">
      <c r="A63" s="25" t="str">
        <f t="shared" si="0"/>
        <v>WV0016RWV00180</v>
      </c>
      <c r="B63" s="31">
        <v>3</v>
      </c>
      <c r="C63" s="25" t="s">
        <v>249</v>
      </c>
      <c r="D63" s="25" t="s">
        <v>248</v>
      </c>
      <c r="E63" s="25" t="s">
        <v>1418</v>
      </c>
      <c r="F63" s="32">
        <v>411961.46000000008</v>
      </c>
      <c r="G63" s="32">
        <v>411961.45999999996</v>
      </c>
    </row>
    <row r="64" spans="1:7">
      <c r="A64" s="25" t="str">
        <f t="shared" si="0"/>
        <v>WV0050RWV00153</v>
      </c>
      <c r="B64" s="31">
        <v>3</v>
      </c>
      <c r="C64" s="25" t="s">
        <v>60</v>
      </c>
      <c r="D64" s="25" t="s">
        <v>59</v>
      </c>
      <c r="E64" s="25" t="s">
        <v>1419</v>
      </c>
      <c r="F64" s="32">
        <v>655646.64999999991</v>
      </c>
      <c r="G64" s="32">
        <v>655646.65000000014</v>
      </c>
    </row>
    <row r="65" spans="1:7">
      <c r="A65" s="25" t="str">
        <f t="shared" si="0"/>
        <v>WV0054RWV00204</v>
      </c>
      <c r="B65" s="31">
        <v>3</v>
      </c>
      <c r="C65" s="25" t="s">
        <v>647</v>
      </c>
      <c r="D65" s="25" t="s">
        <v>646</v>
      </c>
      <c r="E65" s="25" t="s">
        <v>1426</v>
      </c>
      <c r="F65" s="32">
        <v>535903</v>
      </c>
      <c r="G65" s="32">
        <v>225014.47999999998</v>
      </c>
    </row>
    <row r="66" spans="1:7">
      <c r="A66" s="25" t="str">
        <f t="shared" si="0"/>
        <v>AL0028RAL00067</v>
      </c>
      <c r="B66" s="31">
        <v>4</v>
      </c>
      <c r="C66" s="25" t="s">
        <v>469</v>
      </c>
      <c r="D66" s="25" t="s">
        <v>468</v>
      </c>
      <c r="E66" s="25" t="s">
        <v>1147</v>
      </c>
      <c r="F66" s="32">
        <v>543669.83000000007</v>
      </c>
      <c r="G66" s="32">
        <v>543669.82999999996</v>
      </c>
    </row>
    <row r="67" spans="1:7">
      <c r="A67" s="25" t="str">
        <f t="shared" si="0"/>
        <v>AL0028RAL00068</v>
      </c>
      <c r="B67" s="31">
        <v>4</v>
      </c>
      <c r="C67" s="25" t="s">
        <v>469</v>
      </c>
      <c r="D67" s="25" t="s">
        <v>638</v>
      </c>
      <c r="E67" s="25" t="s">
        <v>1147</v>
      </c>
      <c r="F67" s="32">
        <v>63616.85</v>
      </c>
      <c r="G67" s="32">
        <v>59993.85</v>
      </c>
    </row>
    <row r="68" spans="1:7">
      <c r="A68" s="25" t="str">
        <f t="shared" si="0"/>
        <v>AL0043RAL00059</v>
      </c>
      <c r="B68" s="31">
        <v>4</v>
      </c>
      <c r="C68" s="25" t="s">
        <v>292</v>
      </c>
      <c r="D68" s="25" t="s">
        <v>291</v>
      </c>
      <c r="E68" s="25" t="s">
        <v>1148</v>
      </c>
      <c r="F68" s="32">
        <v>67357.72</v>
      </c>
      <c r="G68" s="32">
        <v>65198.720000000001</v>
      </c>
    </row>
    <row r="69" spans="1:7">
      <c r="A69" s="25" t="str">
        <f t="shared" si="0"/>
        <v>AL0043RAL00040</v>
      </c>
      <c r="B69" s="31">
        <v>4</v>
      </c>
      <c r="C69" s="25" t="s">
        <v>292</v>
      </c>
      <c r="D69" s="25" t="s">
        <v>555</v>
      </c>
      <c r="E69" s="25" t="s">
        <v>1148</v>
      </c>
      <c r="F69" s="32">
        <v>459191.97</v>
      </c>
      <c r="G69" s="32">
        <v>385268.91000000009</v>
      </c>
    </row>
    <row r="70" spans="1:7">
      <c r="A70" s="25" t="str">
        <f t="shared" si="0"/>
        <v>AL0076RAL00060</v>
      </c>
      <c r="B70" s="31">
        <v>4</v>
      </c>
      <c r="C70" s="25" t="s">
        <v>298</v>
      </c>
      <c r="D70" s="25" t="s">
        <v>297</v>
      </c>
      <c r="E70" s="25" t="s">
        <v>1149</v>
      </c>
      <c r="F70" s="32">
        <v>68985.149999999994</v>
      </c>
      <c r="G70" s="32">
        <v>65404.020000000004</v>
      </c>
    </row>
    <row r="71" spans="1:7">
      <c r="A71" s="25" t="str">
        <f t="shared" ref="A71:A133" si="1">LEFT(C71,6)&amp;D71</f>
        <v>AL0076RAL00046</v>
      </c>
      <c r="B71" s="31">
        <v>4</v>
      </c>
      <c r="C71" s="25" t="s">
        <v>298</v>
      </c>
      <c r="D71" s="25" t="s">
        <v>621</v>
      </c>
      <c r="E71" s="25" t="s">
        <v>1149</v>
      </c>
      <c r="F71" s="32">
        <v>878910.99999999988</v>
      </c>
      <c r="G71" s="32">
        <v>845529.87</v>
      </c>
    </row>
    <row r="72" spans="1:7">
      <c r="A72" s="25" t="str">
        <f t="shared" si="1"/>
        <v>FL0002RFL00123</v>
      </c>
      <c r="B72" s="31">
        <v>4</v>
      </c>
      <c r="C72" s="25" t="s">
        <v>276</v>
      </c>
      <c r="D72" s="25" t="s">
        <v>369</v>
      </c>
      <c r="E72" s="25" t="s">
        <v>1215</v>
      </c>
      <c r="F72" s="32">
        <v>331944.74</v>
      </c>
      <c r="G72" s="32">
        <v>331944.73999999993</v>
      </c>
    </row>
    <row r="73" spans="1:7">
      <c r="A73" s="25" t="str">
        <f t="shared" si="1"/>
        <v>FL0002RFL00144</v>
      </c>
      <c r="B73" s="31">
        <v>4</v>
      </c>
      <c r="C73" s="25" t="s">
        <v>276</v>
      </c>
      <c r="D73" s="25" t="s">
        <v>275</v>
      </c>
      <c r="E73" s="25" t="s">
        <v>1215</v>
      </c>
      <c r="F73" s="32">
        <v>57553.570000000007</v>
      </c>
      <c r="G73" s="32">
        <v>52864.569999999992</v>
      </c>
    </row>
    <row r="74" spans="1:7">
      <c r="A74" s="25" t="str">
        <f t="shared" si="1"/>
        <v>FL0009RFL00182</v>
      </c>
      <c r="B74" s="31">
        <v>4</v>
      </c>
      <c r="C74" s="25" t="s">
        <v>391</v>
      </c>
      <c r="D74" s="25" t="s">
        <v>390</v>
      </c>
      <c r="E74" s="25" t="s">
        <v>1216</v>
      </c>
      <c r="F74" s="32">
        <v>806934.64</v>
      </c>
      <c r="G74" s="32">
        <v>806934.64</v>
      </c>
    </row>
    <row r="75" spans="1:7">
      <c r="A75" s="25" t="str">
        <f t="shared" si="1"/>
        <v>FL0009RFL00145</v>
      </c>
      <c r="B75" s="31">
        <v>4</v>
      </c>
      <c r="C75" s="25" t="s">
        <v>391</v>
      </c>
      <c r="D75" s="25" t="s">
        <v>449</v>
      </c>
      <c r="E75" s="25" t="s">
        <v>1216</v>
      </c>
      <c r="F75" s="32">
        <v>87225</v>
      </c>
      <c r="G75" s="32">
        <v>86018</v>
      </c>
    </row>
    <row r="76" spans="1:7">
      <c r="A76" s="25" t="str">
        <f t="shared" si="1"/>
        <v>FL0010RFL00163</v>
      </c>
      <c r="B76" s="31">
        <v>4</v>
      </c>
      <c r="C76" s="25" t="s">
        <v>58</v>
      </c>
      <c r="D76" s="25" t="s">
        <v>552</v>
      </c>
      <c r="E76" s="25" t="s">
        <v>1434</v>
      </c>
      <c r="F76" s="32">
        <v>23274</v>
      </c>
      <c r="G76" s="32">
        <v>21115</v>
      </c>
    </row>
    <row r="77" spans="1:7">
      <c r="A77" s="25" t="str">
        <f t="shared" si="1"/>
        <v>FL0010RFL00114</v>
      </c>
      <c r="B77" s="31">
        <v>4</v>
      </c>
      <c r="C77" s="25" t="s">
        <v>58</v>
      </c>
      <c r="D77" s="25" t="s">
        <v>57</v>
      </c>
      <c r="E77" s="25" t="s">
        <v>1434</v>
      </c>
      <c r="F77" s="32">
        <v>782427.33999999985</v>
      </c>
      <c r="G77" s="32">
        <v>782427.34000000008</v>
      </c>
    </row>
    <row r="78" spans="1:7">
      <c r="A78" s="25" t="str">
        <f t="shared" si="1"/>
        <v>FL0017RFL00146</v>
      </c>
      <c r="B78" s="31">
        <v>4</v>
      </c>
      <c r="C78" s="25" t="s">
        <v>286</v>
      </c>
      <c r="D78" s="25" t="s">
        <v>285</v>
      </c>
      <c r="E78" s="25" t="s">
        <v>1219</v>
      </c>
      <c r="F78" s="32">
        <v>97134.17</v>
      </c>
      <c r="G78" s="32">
        <v>91513.87</v>
      </c>
    </row>
    <row r="79" spans="1:7">
      <c r="A79" s="25" t="str">
        <f t="shared" si="1"/>
        <v>FL0025RFL00159</v>
      </c>
      <c r="B79" s="31">
        <v>4</v>
      </c>
      <c r="C79" s="25" t="s">
        <v>296</v>
      </c>
      <c r="D79" s="25" t="s">
        <v>295</v>
      </c>
      <c r="E79" s="25" t="s">
        <v>1220</v>
      </c>
      <c r="F79" s="32">
        <v>57889.540000000008</v>
      </c>
      <c r="G79" s="32">
        <v>55730.54</v>
      </c>
    </row>
    <row r="80" spans="1:7">
      <c r="A80" s="25" t="str">
        <f t="shared" si="1"/>
        <v>FL0064RFL00148</v>
      </c>
      <c r="B80" s="31">
        <v>4</v>
      </c>
      <c r="C80" s="25" t="s">
        <v>220</v>
      </c>
      <c r="D80" s="25" t="s">
        <v>310</v>
      </c>
      <c r="E80" s="25" t="s">
        <v>1221</v>
      </c>
      <c r="F80" s="32">
        <v>66092.539999999994</v>
      </c>
      <c r="G80" s="32">
        <v>61403.54</v>
      </c>
    </row>
    <row r="81" spans="1:7">
      <c r="A81" s="25" t="str">
        <f t="shared" si="1"/>
        <v>FL0064RFL00124</v>
      </c>
      <c r="B81" s="31">
        <v>4</v>
      </c>
      <c r="C81" s="25" t="s">
        <v>220</v>
      </c>
      <c r="D81" s="25" t="s">
        <v>219</v>
      </c>
      <c r="E81" s="25" t="s">
        <v>1221</v>
      </c>
      <c r="F81" s="32">
        <v>618303.97000000009</v>
      </c>
      <c r="G81" s="32">
        <v>618303.97</v>
      </c>
    </row>
    <row r="82" spans="1:7">
      <c r="A82" s="25" t="str">
        <f t="shared" si="1"/>
        <v>FL0065RFL00149</v>
      </c>
      <c r="B82" s="31">
        <v>4</v>
      </c>
      <c r="C82" s="25" t="s">
        <v>109</v>
      </c>
      <c r="D82" s="25" t="s">
        <v>290</v>
      </c>
      <c r="E82" s="25" t="s">
        <v>1222</v>
      </c>
      <c r="F82" s="32">
        <v>70505.540000000008</v>
      </c>
      <c r="G82" s="32">
        <v>68346.539999999994</v>
      </c>
    </row>
    <row r="83" spans="1:7">
      <c r="A83" s="25" t="str">
        <f t="shared" si="1"/>
        <v>FL0065RFL00122</v>
      </c>
      <c r="B83" s="31">
        <v>4</v>
      </c>
      <c r="C83" s="25" t="s">
        <v>109</v>
      </c>
      <c r="D83" s="25" t="s">
        <v>108</v>
      </c>
      <c r="E83" s="25" t="s">
        <v>1222</v>
      </c>
      <c r="F83" s="32">
        <v>1331118.17</v>
      </c>
      <c r="G83" s="32">
        <v>1331118.17</v>
      </c>
    </row>
    <row r="84" spans="1:7">
      <c r="A84" s="25" t="str">
        <f t="shared" si="1"/>
        <v>FL0067RFL00150</v>
      </c>
      <c r="B84" s="31">
        <v>4</v>
      </c>
      <c r="C84" s="25" t="s">
        <v>300</v>
      </c>
      <c r="D84" s="25" t="s">
        <v>299</v>
      </c>
      <c r="E84" s="25" t="s">
        <v>1223</v>
      </c>
      <c r="F84" s="32">
        <v>69658.840000000011</v>
      </c>
      <c r="G84" s="32">
        <v>60005.11</v>
      </c>
    </row>
    <row r="85" spans="1:7">
      <c r="A85" s="25" t="str">
        <f t="shared" si="1"/>
        <v>FL0082VFL00008</v>
      </c>
      <c r="B85" s="31">
        <v>4</v>
      </c>
      <c r="C85" s="25" t="s">
        <v>709</v>
      </c>
      <c r="D85" s="25" t="s">
        <v>708</v>
      </c>
      <c r="E85" s="25" t="s">
        <v>1224</v>
      </c>
      <c r="F85" s="32">
        <v>12438.880000000003</v>
      </c>
      <c r="G85" s="32">
        <v>12438.88</v>
      </c>
    </row>
    <row r="86" spans="1:7">
      <c r="A86" s="25" t="str">
        <f t="shared" si="1"/>
        <v>FL0089RFL00164</v>
      </c>
      <c r="B86" s="31">
        <v>4</v>
      </c>
      <c r="C86" s="25" t="s">
        <v>278</v>
      </c>
      <c r="D86" s="25" t="s">
        <v>277</v>
      </c>
      <c r="E86" s="25" t="s">
        <v>1225</v>
      </c>
      <c r="F86" s="32">
        <v>83954.05</v>
      </c>
      <c r="G86" s="32">
        <v>81795.049999999988</v>
      </c>
    </row>
    <row r="87" spans="1:7">
      <c r="A87" s="25" t="str">
        <f t="shared" si="1"/>
        <v>FL0095RFL00160</v>
      </c>
      <c r="B87" s="31">
        <v>4</v>
      </c>
      <c r="C87" s="25" t="s">
        <v>282</v>
      </c>
      <c r="D87" s="25" t="s">
        <v>281</v>
      </c>
      <c r="E87" s="25" t="s">
        <v>1226</v>
      </c>
      <c r="F87" s="32">
        <v>85723.85</v>
      </c>
      <c r="G87" s="32">
        <v>57145.539999999994</v>
      </c>
    </row>
    <row r="88" spans="1:7">
      <c r="A88" s="25" t="str">
        <f t="shared" si="1"/>
        <v>FL0095RFL00133</v>
      </c>
      <c r="B88" s="31">
        <v>4</v>
      </c>
      <c r="C88" s="25" t="s">
        <v>282</v>
      </c>
      <c r="D88" s="25" t="s">
        <v>535</v>
      </c>
      <c r="E88" s="25" t="s">
        <v>1226</v>
      </c>
      <c r="F88" s="32">
        <v>2728798.54</v>
      </c>
      <c r="G88" s="32">
        <v>850412.2</v>
      </c>
    </row>
    <row r="89" spans="1:7">
      <c r="A89" s="25" t="str">
        <f t="shared" si="1"/>
        <v>FL1021RFL00161</v>
      </c>
      <c r="B89" s="31">
        <v>4</v>
      </c>
      <c r="C89" s="25" t="s">
        <v>499</v>
      </c>
      <c r="D89" s="25" t="s">
        <v>575</v>
      </c>
      <c r="E89" s="25" t="s">
        <v>1227</v>
      </c>
      <c r="F89" s="32">
        <v>23274</v>
      </c>
      <c r="G89" s="32">
        <v>21115</v>
      </c>
    </row>
    <row r="90" spans="1:7">
      <c r="A90" s="25" t="str">
        <f t="shared" si="1"/>
        <v>FL1021RFL00162</v>
      </c>
      <c r="B90" s="31">
        <v>4</v>
      </c>
      <c r="C90" s="25" t="s">
        <v>499</v>
      </c>
      <c r="D90" s="25" t="s">
        <v>498</v>
      </c>
      <c r="E90" s="25" t="s">
        <v>1227</v>
      </c>
      <c r="F90" s="32">
        <v>333188</v>
      </c>
      <c r="G90" s="32">
        <v>333188</v>
      </c>
    </row>
    <row r="91" spans="1:7">
      <c r="A91" s="25" t="str">
        <f t="shared" si="1"/>
        <v>GA0005RGA00163</v>
      </c>
      <c r="B91" s="31">
        <v>4</v>
      </c>
      <c r="C91" s="25" t="s">
        <v>307</v>
      </c>
      <c r="D91" s="25" t="s">
        <v>306</v>
      </c>
      <c r="E91" s="25" t="s">
        <v>1228</v>
      </c>
      <c r="F91" s="32">
        <v>200591.42999999996</v>
      </c>
      <c r="G91" s="32">
        <v>200591.43</v>
      </c>
    </row>
    <row r="92" spans="1:7">
      <c r="A92" s="25" t="str">
        <f t="shared" si="1"/>
        <v>GA0005RGA00190</v>
      </c>
      <c r="B92" s="31">
        <v>4</v>
      </c>
      <c r="C92" s="25" t="s">
        <v>307</v>
      </c>
      <c r="D92" s="25" t="s">
        <v>482</v>
      </c>
      <c r="E92" s="25" t="s">
        <v>1228</v>
      </c>
      <c r="F92" s="32">
        <v>65250.94</v>
      </c>
      <c r="G92" s="32">
        <v>61555.939999999995</v>
      </c>
    </row>
    <row r="93" spans="1:7">
      <c r="A93" s="25" t="str">
        <f t="shared" si="1"/>
        <v>GA0005RGA00116</v>
      </c>
      <c r="B93" s="31">
        <v>4</v>
      </c>
      <c r="C93" s="25" t="s">
        <v>307</v>
      </c>
      <c r="D93" s="25" t="s">
        <v>484</v>
      </c>
      <c r="E93" s="25" t="s">
        <v>1228</v>
      </c>
      <c r="F93" s="32">
        <v>608912</v>
      </c>
      <c r="G93" s="32">
        <v>608912</v>
      </c>
    </row>
    <row r="94" spans="1:7">
      <c r="A94" s="25" t="str">
        <f t="shared" si="1"/>
        <v>GA0044RGA00164</v>
      </c>
      <c r="B94" s="31">
        <v>4</v>
      </c>
      <c r="C94" s="25" t="s">
        <v>305</v>
      </c>
      <c r="D94" s="25" t="s">
        <v>304</v>
      </c>
      <c r="E94" s="25" t="s">
        <v>1435</v>
      </c>
      <c r="F94" s="32">
        <v>852834.45999999985</v>
      </c>
      <c r="G94" s="32">
        <v>808869.74000000011</v>
      </c>
    </row>
    <row r="95" spans="1:7">
      <c r="A95" s="25" t="str">
        <f t="shared" si="1"/>
        <v>GA0044RGA00155</v>
      </c>
      <c r="B95" s="31">
        <v>4</v>
      </c>
      <c r="C95" s="25" t="s">
        <v>305</v>
      </c>
      <c r="D95" s="25" t="s">
        <v>380</v>
      </c>
      <c r="E95" s="25" t="s">
        <v>1435</v>
      </c>
      <c r="F95" s="32">
        <v>55693.80000000001</v>
      </c>
      <c r="G95" s="32">
        <v>53534.8</v>
      </c>
    </row>
    <row r="96" spans="1:7">
      <c r="A96" s="25" t="str">
        <f t="shared" si="1"/>
        <v>GA0077RGA00154</v>
      </c>
      <c r="B96" s="31">
        <v>4</v>
      </c>
      <c r="C96" s="25" t="s">
        <v>554</v>
      </c>
      <c r="D96" s="25" t="s">
        <v>553</v>
      </c>
      <c r="E96" s="25" t="s">
        <v>1231</v>
      </c>
      <c r="F96" s="32">
        <v>30335.979999999996</v>
      </c>
      <c r="G96" s="32">
        <v>29236.34</v>
      </c>
    </row>
    <row r="97" spans="1:7">
      <c r="A97" s="25" t="str">
        <f t="shared" si="1"/>
        <v>GA0103RGA00187</v>
      </c>
      <c r="B97" s="31">
        <v>4</v>
      </c>
      <c r="C97" s="25" t="s">
        <v>127</v>
      </c>
      <c r="D97" s="25" t="s">
        <v>491</v>
      </c>
      <c r="E97" s="25" t="s">
        <v>1232</v>
      </c>
      <c r="F97" s="32">
        <v>80830.22</v>
      </c>
      <c r="G97" s="32">
        <v>78189.47</v>
      </c>
    </row>
    <row r="98" spans="1:7">
      <c r="A98" s="25" t="str">
        <f t="shared" si="1"/>
        <v>GA0103RGA00188</v>
      </c>
      <c r="B98" s="31">
        <v>4</v>
      </c>
      <c r="C98" s="25" t="s">
        <v>127</v>
      </c>
      <c r="D98" s="25" t="s">
        <v>421</v>
      </c>
      <c r="E98" s="25" t="s">
        <v>1232</v>
      </c>
      <c r="F98" s="32">
        <v>466787.75</v>
      </c>
      <c r="G98" s="32">
        <v>466787.75</v>
      </c>
    </row>
    <row r="99" spans="1:7">
      <c r="A99" s="25" t="str">
        <f t="shared" si="1"/>
        <v>GA0103RGA00114</v>
      </c>
      <c r="B99" s="31">
        <v>4</v>
      </c>
      <c r="C99" s="25" t="s">
        <v>127</v>
      </c>
      <c r="D99" s="25" t="s">
        <v>126</v>
      </c>
      <c r="E99" s="25" t="s">
        <v>1232</v>
      </c>
      <c r="F99" s="32">
        <v>762451.76</v>
      </c>
      <c r="G99" s="32">
        <v>762451.76</v>
      </c>
    </row>
    <row r="100" spans="1:7">
      <c r="A100" s="25" t="str">
        <f t="shared" si="1"/>
        <v>KY0008RKY00039</v>
      </c>
      <c r="B100" s="31">
        <v>4</v>
      </c>
      <c r="C100" s="25" t="s">
        <v>172</v>
      </c>
      <c r="D100" s="25" t="s">
        <v>570</v>
      </c>
      <c r="E100" s="25" t="s">
        <v>1260</v>
      </c>
      <c r="F100" s="32">
        <v>118290.72000000003</v>
      </c>
      <c r="G100" s="32">
        <v>118290.72</v>
      </c>
    </row>
    <row r="101" spans="1:7">
      <c r="A101" s="25" t="str">
        <f t="shared" si="1"/>
        <v>KY0008RKY00051</v>
      </c>
      <c r="B101" s="31">
        <v>4</v>
      </c>
      <c r="C101" s="25" t="s">
        <v>172</v>
      </c>
      <c r="D101" s="25" t="s">
        <v>171</v>
      </c>
      <c r="E101" s="25" t="s">
        <v>1260</v>
      </c>
      <c r="F101" s="32">
        <v>62071.429999999993</v>
      </c>
      <c r="G101" s="32">
        <v>59912.429999999993</v>
      </c>
    </row>
    <row r="102" spans="1:7">
      <c r="A102" s="25" t="str">
        <f t="shared" si="1"/>
        <v>KY0045RKY00052</v>
      </c>
      <c r="B102" s="31">
        <v>4</v>
      </c>
      <c r="C102" s="25" t="s">
        <v>294</v>
      </c>
      <c r="D102" s="25" t="s">
        <v>293</v>
      </c>
      <c r="E102" s="25" t="s">
        <v>1261</v>
      </c>
      <c r="F102" s="32">
        <v>86316.540000000008</v>
      </c>
      <c r="G102" s="32">
        <v>81409.000000000015</v>
      </c>
    </row>
    <row r="103" spans="1:7">
      <c r="A103" s="25" t="str">
        <f t="shared" si="1"/>
        <v>KY0088RKY00055</v>
      </c>
      <c r="B103" s="31">
        <v>4</v>
      </c>
      <c r="C103" s="25" t="s">
        <v>91</v>
      </c>
      <c r="D103" s="25" t="s">
        <v>436</v>
      </c>
      <c r="E103" s="25" t="s">
        <v>1262</v>
      </c>
      <c r="F103" s="32">
        <v>55093</v>
      </c>
      <c r="G103" s="32">
        <v>54110</v>
      </c>
    </row>
    <row r="104" spans="1:7">
      <c r="A104" s="25" t="str">
        <f t="shared" si="1"/>
        <v>KY0088RKY00034</v>
      </c>
      <c r="B104" s="31">
        <v>4</v>
      </c>
      <c r="C104" s="25" t="s">
        <v>91</v>
      </c>
      <c r="D104" s="25" t="s">
        <v>90</v>
      </c>
      <c r="E104" s="25" t="s">
        <v>1262</v>
      </c>
      <c r="F104" s="32">
        <v>580417.09000000008</v>
      </c>
      <c r="G104" s="32">
        <v>580417.09000000008</v>
      </c>
    </row>
    <row r="105" spans="1:7">
      <c r="A105" s="25" t="str">
        <f t="shared" si="1"/>
        <v>MS0006RMS00036</v>
      </c>
      <c r="B105" s="31">
        <v>4</v>
      </c>
      <c r="C105" s="25" t="s">
        <v>618</v>
      </c>
      <c r="D105" s="25" t="s">
        <v>617</v>
      </c>
      <c r="E105" s="25" t="s">
        <v>1301</v>
      </c>
      <c r="F105" s="32">
        <v>23839</v>
      </c>
      <c r="G105" s="32">
        <v>21680</v>
      </c>
    </row>
    <row r="106" spans="1:7">
      <c r="A106" s="25" t="str">
        <f t="shared" si="1"/>
        <v>MS0009RMS00037</v>
      </c>
      <c r="B106" s="31">
        <v>4</v>
      </c>
      <c r="C106" s="25" t="s">
        <v>284</v>
      </c>
      <c r="D106" s="25" t="s">
        <v>283</v>
      </c>
      <c r="E106" s="25" t="s">
        <v>1302</v>
      </c>
      <c r="F106" s="32">
        <v>84078.54</v>
      </c>
      <c r="G106" s="32">
        <v>81919.540000000008</v>
      </c>
    </row>
    <row r="107" spans="1:7">
      <c r="A107" s="25" t="str">
        <f t="shared" si="1"/>
        <v>MS0083VMS00002</v>
      </c>
      <c r="B107" s="31">
        <v>4</v>
      </c>
      <c r="C107" s="25" t="s">
        <v>630</v>
      </c>
      <c r="D107" s="25" t="s">
        <v>629</v>
      </c>
      <c r="E107" s="25" t="s">
        <v>1303</v>
      </c>
      <c r="F107" s="32">
        <v>3119698.59</v>
      </c>
      <c r="G107" s="32">
        <v>2370900.59</v>
      </c>
    </row>
    <row r="108" spans="1:7">
      <c r="A108" s="25" t="str">
        <f t="shared" si="1"/>
        <v>NC0058RNC00060</v>
      </c>
      <c r="B108" s="31">
        <v>4</v>
      </c>
      <c r="C108" s="25" t="s">
        <v>183</v>
      </c>
      <c r="D108" s="25" t="s">
        <v>422</v>
      </c>
      <c r="E108" s="25" t="s">
        <v>1304</v>
      </c>
      <c r="F108" s="32">
        <v>80928.639999999999</v>
      </c>
      <c r="G108" s="32">
        <v>79721.64</v>
      </c>
    </row>
    <row r="109" spans="1:7">
      <c r="A109" s="25" t="str">
        <f t="shared" si="1"/>
        <v>NC0058RNC00058</v>
      </c>
      <c r="B109" s="31">
        <v>4</v>
      </c>
      <c r="C109" s="25" t="s">
        <v>183</v>
      </c>
      <c r="D109" s="25" t="s">
        <v>182</v>
      </c>
      <c r="E109" s="25" t="s">
        <v>1304</v>
      </c>
      <c r="F109" s="32">
        <v>763420.6</v>
      </c>
      <c r="G109" s="32">
        <v>763420.60000000009</v>
      </c>
    </row>
    <row r="110" spans="1:7">
      <c r="A110" s="25" t="str">
        <f t="shared" si="1"/>
        <v>NC0113RNC00054</v>
      </c>
      <c r="B110" s="31">
        <v>4</v>
      </c>
      <c r="C110" s="25" t="s">
        <v>177</v>
      </c>
      <c r="D110" s="25" t="s">
        <v>398</v>
      </c>
      <c r="E110" s="25" t="s">
        <v>1305</v>
      </c>
      <c r="F110" s="32">
        <v>62766.66</v>
      </c>
      <c r="G110" s="32">
        <v>59462.66</v>
      </c>
    </row>
    <row r="111" spans="1:7">
      <c r="A111" s="25" t="str">
        <f t="shared" si="1"/>
        <v>NC0113RNC00059</v>
      </c>
      <c r="B111" s="31">
        <v>4</v>
      </c>
      <c r="C111" s="25" t="s">
        <v>177</v>
      </c>
      <c r="D111" s="25" t="s">
        <v>176</v>
      </c>
      <c r="E111" s="25" t="s">
        <v>1305</v>
      </c>
      <c r="F111" s="32">
        <v>1234236.1599999999</v>
      </c>
      <c r="G111" s="32">
        <v>1234236.1600000001</v>
      </c>
    </row>
    <row r="112" spans="1:7">
      <c r="A112" s="25" t="str">
        <f t="shared" si="1"/>
        <v>SC0012RSC00070</v>
      </c>
      <c r="B112" s="31">
        <v>4</v>
      </c>
      <c r="C112" s="25" t="s">
        <v>415</v>
      </c>
      <c r="D112" s="25" t="s">
        <v>414</v>
      </c>
      <c r="E112" s="25" t="s">
        <v>1361</v>
      </c>
      <c r="F112" s="32">
        <v>79348.35000000002</v>
      </c>
      <c r="G112" s="32">
        <v>76959</v>
      </c>
    </row>
    <row r="113" spans="1:7">
      <c r="A113" s="25" t="str">
        <f t="shared" si="1"/>
        <v>SC0012RSC00055</v>
      </c>
      <c r="B113" s="31">
        <v>4</v>
      </c>
      <c r="C113" s="25" t="s">
        <v>415</v>
      </c>
      <c r="D113" s="25" t="s">
        <v>549</v>
      </c>
      <c r="E113" s="25" t="s">
        <v>1361</v>
      </c>
      <c r="F113" s="32">
        <v>179366.45</v>
      </c>
      <c r="G113" s="32">
        <v>111343.22</v>
      </c>
    </row>
    <row r="114" spans="1:7">
      <c r="A114" s="25" t="str">
        <f t="shared" si="1"/>
        <v>SC0058RSC00071</v>
      </c>
      <c r="B114" s="31">
        <v>4</v>
      </c>
      <c r="C114" s="25" t="s">
        <v>129</v>
      </c>
      <c r="D114" s="25" t="s">
        <v>470</v>
      </c>
      <c r="E114" s="25" t="s">
        <v>1362</v>
      </c>
      <c r="F114" s="32">
        <v>57086.61</v>
      </c>
      <c r="G114" s="32">
        <v>56103.61</v>
      </c>
    </row>
    <row r="115" spans="1:7">
      <c r="A115" s="25" t="str">
        <f t="shared" si="1"/>
        <v>SC0058RSC00052</v>
      </c>
      <c r="B115" s="31">
        <v>4</v>
      </c>
      <c r="C115" s="25" t="s">
        <v>129</v>
      </c>
      <c r="D115" s="25" t="s">
        <v>128</v>
      </c>
      <c r="E115" s="25" t="s">
        <v>1362</v>
      </c>
      <c r="F115" s="32">
        <v>2036731.1600000001</v>
      </c>
      <c r="G115" s="32">
        <v>2036731.1599999997</v>
      </c>
    </row>
    <row r="116" spans="1:7">
      <c r="A116" s="25" t="str">
        <f t="shared" si="1"/>
        <v>SC0069RSC00063</v>
      </c>
      <c r="B116" s="31">
        <v>4</v>
      </c>
      <c r="C116" s="25" t="s">
        <v>280</v>
      </c>
      <c r="D116" s="25" t="s">
        <v>279</v>
      </c>
      <c r="E116" s="25" t="s">
        <v>1363</v>
      </c>
      <c r="F116" s="32">
        <v>72212.75</v>
      </c>
      <c r="G116" s="32">
        <v>68743.759999999995</v>
      </c>
    </row>
    <row r="117" spans="1:7">
      <c r="A117" s="25" t="str">
        <f t="shared" si="1"/>
        <v>TN0004RTN00049</v>
      </c>
      <c r="B117" s="31">
        <v>4</v>
      </c>
      <c r="C117" s="25" t="s">
        <v>274</v>
      </c>
      <c r="D117" s="25" t="s">
        <v>273</v>
      </c>
      <c r="E117" s="25" t="s">
        <v>1365</v>
      </c>
      <c r="F117" s="32">
        <v>149925.94</v>
      </c>
      <c r="G117" s="32">
        <v>147766.94</v>
      </c>
    </row>
    <row r="118" spans="1:7">
      <c r="A118" s="25" t="str">
        <f t="shared" si="1"/>
        <v>TN0052RTN00055</v>
      </c>
      <c r="B118" s="31">
        <v>4</v>
      </c>
      <c r="C118" s="25" t="s">
        <v>572</v>
      </c>
      <c r="D118" s="25" t="s">
        <v>571</v>
      </c>
      <c r="E118" s="25" t="s">
        <v>1366</v>
      </c>
      <c r="F118" s="32">
        <v>58004.58</v>
      </c>
      <c r="G118" s="32">
        <v>57370.58</v>
      </c>
    </row>
    <row r="119" spans="1:7">
      <c r="A119" s="25" t="str">
        <f t="shared" si="1"/>
        <v>TN0111RTN00056</v>
      </c>
      <c r="B119" s="31">
        <v>4</v>
      </c>
      <c r="C119" s="25" t="s">
        <v>577</v>
      </c>
      <c r="D119" s="25" t="s">
        <v>576</v>
      </c>
      <c r="E119" s="25" t="s">
        <v>1367</v>
      </c>
      <c r="F119" s="32">
        <v>68221.510000000009</v>
      </c>
      <c r="G119" s="32">
        <v>67587.510000000009</v>
      </c>
    </row>
    <row r="120" spans="1:7">
      <c r="A120" s="25" t="str">
        <f t="shared" si="1"/>
        <v>TN0112RTN00057</v>
      </c>
      <c r="B120" s="31">
        <v>4</v>
      </c>
      <c r="C120" s="25" t="s">
        <v>606</v>
      </c>
      <c r="D120" s="25" t="s">
        <v>605</v>
      </c>
      <c r="E120" s="25" t="s">
        <v>1368</v>
      </c>
      <c r="F120" s="32">
        <v>64316.32</v>
      </c>
      <c r="G120" s="32">
        <v>63682.32</v>
      </c>
    </row>
    <row r="121" spans="1:7">
      <c r="A121" s="25" t="str">
        <f t="shared" si="1"/>
        <v>IL0033RIL02578</v>
      </c>
      <c r="B121" s="31">
        <v>5</v>
      </c>
      <c r="C121" s="25" t="s">
        <v>255</v>
      </c>
      <c r="D121" s="25" t="s">
        <v>254</v>
      </c>
      <c r="E121" s="25" t="s">
        <v>1238</v>
      </c>
      <c r="F121" s="32">
        <v>2629422.77</v>
      </c>
      <c r="G121" s="32">
        <v>2629422.7700000009</v>
      </c>
    </row>
    <row r="122" spans="1:7">
      <c r="A122" s="25" t="str">
        <f t="shared" si="1"/>
        <v>IL0059RIL00463</v>
      </c>
      <c r="B122" s="31">
        <v>5</v>
      </c>
      <c r="C122" s="25" t="s">
        <v>175</v>
      </c>
      <c r="D122" s="25" t="s">
        <v>174</v>
      </c>
      <c r="E122" s="25" t="s">
        <v>1239</v>
      </c>
      <c r="F122" s="32">
        <v>325368.04999999993</v>
      </c>
      <c r="G122" s="32">
        <v>325368.05000000005</v>
      </c>
    </row>
    <row r="123" spans="1:7">
      <c r="A123" s="25" t="str">
        <f t="shared" si="1"/>
        <v>IL0069RIL00507</v>
      </c>
      <c r="B123" s="31">
        <v>5</v>
      </c>
      <c r="C123" s="25" t="s">
        <v>411</v>
      </c>
      <c r="D123" s="25" t="s">
        <v>410</v>
      </c>
      <c r="E123" s="25" t="s">
        <v>1240</v>
      </c>
      <c r="F123" s="32">
        <v>60358.41</v>
      </c>
      <c r="G123" s="32">
        <v>60358.41</v>
      </c>
    </row>
    <row r="124" spans="1:7">
      <c r="A124" s="25" t="str">
        <f t="shared" si="1"/>
        <v>IL0154RIL00508</v>
      </c>
      <c r="B124" s="31">
        <v>5</v>
      </c>
      <c r="C124" s="25" t="s">
        <v>23</v>
      </c>
      <c r="D124" s="25" t="s">
        <v>412</v>
      </c>
      <c r="E124" s="25" t="s">
        <v>1241</v>
      </c>
      <c r="F124" s="32">
        <v>97394.95</v>
      </c>
      <c r="G124" s="32">
        <v>97394.95</v>
      </c>
    </row>
    <row r="125" spans="1:7">
      <c r="A125" s="25" t="str">
        <f t="shared" si="1"/>
        <v>IL0154RIL00466</v>
      </c>
      <c r="B125" s="31">
        <v>5</v>
      </c>
      <c r="C125" s="25" t="s">
        <v>23</v>
      </c>
      <c r="D125" s="25" t="s">
        <v>22</v>
      </c>
      <c r="E125" s="25" t="s">
        <v>1241</v>
      </c>
      <c r="F125" s="32">
        <v>926370.8</v>
      </c>
      <c r="G125" s="32">
        <v>926370.8</v>
      </c>
    </row>
    <row r="126" spans="1:7">
      <c r="A126" s="25" t="str">
        <f t="shared" si="1"/>
        <v>IL0200RIL00554</v>
      </c>
      <c r="B126" s="31">
        <v>5</v>
      </c>
      <c r="C126" s="25" t="s">
        <v>329</v>
      </c>
      <c r="D126" s="25" t="s">
        <v>357</v>
      </c>
      <c r="E126" s="25" t="s">
        <v>1242</v>
      </c>
      <c r="F126" s="32">
        <v>77378.959999999992</v>
      </c>
      <c r="G126" s="32">
        <v>65928.08</v>
      </c>
    </row>
    <row r="127" spans="1:7">
      <c r="A127" s="25" t="str">
        <f t="shared" si="1"/>
        <v>IL0200RIL00465</v>
      </c>
      <c r="B127" s="31">
        <v>5</v>
      </c>
      <c r="C127" s="25" t="s">
        <v>329</v>
      </c>
      <c r="D127" s="25" t="s">
        <v>328</v>
      </c>
      <c r="E127" s="25" t="s">
        <v>1242</v>
      </c>
      <c r="F127" s="32">
        <v>1196053.6599999999</v>
      </c>
      <c r="G127" s="32">
        <v>1196053.6600000001</v>
      </c>
    </row>
    <row r="128" spans="1:7">
      <c r="A128" s="25" t="str">
        <f t="shared" si="1"/>
        <v>IL0205RIL00506</v>
      </c>
      <c r="B128" s="31">
        <v>5</v>
      </c>
      <c r="C128" s="25" t="s">
        <v>45</v>
      </c>
      <c r="D128" s="25" t="s">
        <v>44</v>
      </c>
      <c r="E128" s="25" t="s">
        <v>1243</v>
      </c>
      <c r="F128" s="32">
        <v>2154587.09</v>
      </c>
      <c r="G128" s="32">
        <v>1993124.9899999998</v>
      </c>
    </row>
    <row r="129" spans="1:7">
      <c r="A129" s="25" t="str">
        <f t="shared" si="1"/>
        <v>IL0209RIL00443</v>
      </c>
      <c r="B129" s="31">
        <v>5</v>
      </c>
      <c r="C129" s="25" t="s">
        <v>226</v>
      </c>
      <c r="D129" s="25" t="s">
        <v>225</v>
      </c>
      <c r="E129" s="25" t="s">
        <v>1244</v>
      </c>
      <c r="F129" s="32">
        <v>1429551.9099999997</v>
      </c>
      <c r="G129" s="32">
        <v>1429551.91</v>
      </c>
    </row>
    <row r="130" spans="1:7">
      <c r="A130" s="25" t="str">
        <f t="shared" si="1"/>
        <v>IL0209RIL00649</v>
      </c>
      <c r="B130" s="31">
        <v>5</v>
      </c>
      <c r="C130" s="25" t="s">
        <v>226</v>
      </c>
      <c r="D130" s="25" t="s">
        <v>644</v>
      </c>
      <c r="E130" s="25" t="s">
        <v>1436</v>
      </c>
      <c r="F130" s="32">
        <v>1296238.3399999999</v>
      </c>
      <c r="G130" s="32">
        <v>1296238.3400000001</v>
      </c>
    </row>
    <row r="131" spans="1:7">
      <c r="A131" s="25" t="str">
        <f t="shared" si="1"/>
        <v>IL0214RIL00464</v>
      </c>
      <c r="B131" s="31">
        <v>5</v>
      </c>
      <c r="C131" s="25" t="s">
        <v>373</v>
      </c>
      <c r="D131" s="25" t="s">
        <v>372</v>
      </c>
      <c r="E131" s="25" t="s">
        <v>1245</v>
      </c>
      <c r="F131" s="32">
        <v>337543.91000000003</v>
      </c>
      <c r="G131" s="32">
        <v>337543.91</v>
      </c>
    </row>
    <row r="132" spans="1:7">
      <c r="A132" s="25" t="str">
        <f t="shared" si="1"/>
        <v>IL0214RIL00553</v>
      </c>
      <c r="B132" s="31">
        <v>5</v>
      </c>
      <c r="C132" s="25" t="s">
        <v>373</v>
      </c>
      <c r="D132" s="25" t="s">
        <v>413</v>
      </c>
      <c r="E132" s="25" t="s">
        <v>1245</v>
      </c>
      <c r="F132" s="32">
        <v>55862.32</v>
      </c>
      <c r="G132" s="32">
        <v>48407.42</v>
      </c>
    </row>
    <row r="133" spans="1:7">
      <c r="A133" s="25" t="str">
        <f t="shared" si="1"/>
        <v>IL0222RIL00054</v>
      </c>
      <c r="B133" s="31">
        <v>5</v>
      </c>
      <c r="C133" s="25" t="s">
        <v>27</v>
      </c>
      <c r="D133" s="25" t="s">
        <v>26</v>
      </c>
      <c r="E133" s="25" t="s">
        <v>1246</v>
      </c>
      <c r="F133" s="32">
        <v>362258.22000000003</v>
      </c>
      <c r="G133" s="32">
        <v>362258.22</v>
      </c>
    </row>
    <row r="134" spans="1:7">
      <c r="A134" s="25" t="str">
        <f t="shared" ref="A134:A196" si="2">LEFT(C134,6)&amp;D134</f>
        <v>IL0231RIL00442</v>
      </c>
      <c r="B134" s="31">
        <v>5</v>
      </c>
      <c r="C134" s="25" t="s">
        <v>455</v>
      </c>
      <c r="D134" s="25" t="s">
        <v>454</v>
      </c>
      <c r="E134" s="25" t="s">
        <v>1247</v>
      </c>
      <c r="F134" s="32">
        <v>495156.1100000001</v>
      </c>
      <c r="G134" s="32">
        <v>495156.11</v>
      </c>
    </row>
    <row r="135" spans="1:7">
      <c r="A135" s="25" t="str">
        <f t="shared" si="2"/>
        <v>IL0235VIL00033</v>
      </c>
      <c r="B135" s="31">
        <v>5</v>
      </c>
      <c r="C135" s="25" t="s">
        <v>476</v>
      </c>
      <c r="D135" s="25" t="s">
        <v>475</v>
      </c>
      <c r="E135" s="25" t="s">
        <v>1248</v>
      </c>
      <c r="F135" s="32">
        <v>260921.37</v>
      </c>
      <c r="G135" s="32">
        <v>132503.24</v>
      </c>
    </row>
    <row r="136" spans="1:7">
      <c r="A136" s="25" t="str">
        <f t="shared" si="2"/>
        <v>IL0236VIL00048</v>
      </c>
      <c r="B136" s="31">
        <v>5</v>
      </c>
      <c r="C136" s="25" t="s">
        <v>394</v>
      </c>
      <c r="D136" s="25" t="s">
        <v>393</v>
      </c>
      <c r="E136" s="25" t="s">
        <v>1249</v>
      </c>
      <c r="F136" s="32">
        <v>5742368</v>
      </c>
      <c r="G136" s="32">
        <v>5280864.12</v>
      </c>
    </row>
    <row r="137" spans="1:7">
      <c r="A137" s="25" t="str">
        <f t="shared" si="2"/>
        <v>IL2125VIL00040</v>
      </c>
      <c r="B137" s="31">
        <v>5</v>
      </c>
      <c r="C137" s="25" t="s">
        <v>625</v>
      </c>
      <c r="D137" s="25" t="s">
        <v>645</v>
      </c>
      <c r="E137" s="25" t="s">
        <v>1437</v>
      </c>
      <c r="F137" s="32">
        <v>605000</v>
      </c>
      <c r="G137" s="32">
        <v>565130.52000000014</v>
      </c>
    </row>
    <row r="138" spans="1:7">
      <c r="A138" s="25" t="str">
        <f t="shared" si="2"/>
        <v>IN0031RIN00271</v>
      </c>
      <c r="B138" s="31">
        <v>5</v>
      </c>
      <c r="C138" s="25" t="s">
        <v>181</v>
      </c>
      <c r="D138" s="25" t="s">
        <v>495</v>
      </c>
      <c r="E138" s="25" t="s">
        <v>1250</v>
      </c>
      <c r="F138" s="32">
        <v>38849</v>
      </c>
      <c r="G138" s="32">
        <v>38849</v>
      </c>
    </row>
    <row r="139" spans="1:7">
      <c r="A139" s="25" t="str">
        <f t="shared" si="2"/>
        <v>IN0031RIN00252</v>
      </c>
      <c r="B139" s="31">
        <v>5</v>
      </c>
      <c r="C139" s="25" t="s">
        <v>181</v>
      </c>
      <c r="D139" s="25" t="s">
        <v>180</v>
      </c>
      <c r="E139" s="25" t="s">
        <v>1250</v>
      </c>
      <c r="F139" s="32">
        <v>1356781.4399999992</v>
      </c>
      <c r="G139" s="32">
        <v>1356781.4399999997</v>
      </c>
    </row>
    <row r="140" spans="1:7">
      <c r="A140" s="25" t="str">
        <f t="shared" si="2"/>
        <v>IN0048RIN00273</v>
      </c>
      <c r="B140" s="31">
        <v>5</v>
      </c>
      <c r="C140" s="25" t="s">
        <v>431</v>
      </c>
      <c r="D140" s="25" t="s">
        <v>430</v>
      </c>
      <c r="E140" s="25" t="s">
        <v>1251</v>
      </c>
      <c r="F140" s="32">
        <v>368398</v>
      </c>
      <c r="G140" s="32">
        <v>284088.53999999998</v>
      </c>
    </row>
    <row r="141" spans="1:7">
      <c r="A141" s="25" t="str">
        <f t="shared" si="2"/>
        <v>IN0057RIN00253</v>
      </c>
      <c r="B141" s="31">
        <v>5</v>
      </c>
      <c r="C141" s="25" t="s">
        <v>404</v>
      </c>
      <c r="D141" s="25" t="s">
        <v>403</v>
      </c>
      <c r="E141" s="25" t="s">
        <v>1252</v>
      </c>
      <c r="F141" s="32">
        <v>811513.43</v>
      </c>
      <c r="G141" s="32">
        <v>811513.43</v>
      </c>
    </row>
    <row r="142" spans="1:7">
      <c r="A142" s="25" t="str">
        <f t="shared" si="2"/>
        <v>IN0096RIN00256</v>
      </c>
      <c r="B142" s="31">
        <v>5</v>
      </c>
      <c r="C142" s="25" t="s">
        <v>272</v>
      </c>
      <c r="D142" s="25" t="s">
        <v>362</v>
      </c>
      <c r="E142" s="25" t="s">
        <v>1253</v>
      </c>
      <c r="F142" s="32">
        <v>38678</v>
      </c>
      <c r="G142" s="32">
        <v>38678</v>
      </c>
    </row>
    <row r="143" spans="1:7">
      <c r="A143" s="25" t="str">
        <f t="shared" si="2"/>
        <v>IN0096RIN00247</v>
      </c>
      <c r="B143" s="31">
        <v>5</v>
      </c>
      <c r="C143" s="25" t="s">
        <v>272</v>
      </c>
      <c r="D143" s="25" t="s">
        <v>271</v>
      </c>
      <c r="E143" s="25" t="s">
        <v>1253</v>
      </c>
      <c r="F143" s="32">
        <v>2751321.9999999995</v>
      </c>
      <c r="G143" s="32">
        <v>2751321.9999999995</v>
      </c>
    </row>
    <row r="144" spans="1:7">
      <c r="A144" s="25" t="str">
        <f t="shared" si="2"/>
        <v>IN0521RIN00265</v>
      </c>
      <c r="B144" s="31">
        <v>5</v>
      </c>
      <c r="C144" s="25" t="s">
        <v>325</v>
      </c>
      <c r="D144" s="25" t="s">
        <v>324</v>
      </c>
      <c r="E144" s="25" t="s">
        <v>1438</v>
      </c>
      <c r="F144" s="32">
        <v>163441.83000000002</v>
      </c>
      <c r="G144" s="32">
        <v>163441.82999999999</v>
      </c>
    </row>
    <row r="145" spans="1:7">
      <c r="A145" s="25" t="str">
        <f t="shared" si="2"/>
        <v>IN0522RIN00266</v>
      </c>
      <c r="B145" s="31">
        <v>5</v>
      </c>
      <c r="C145" s="25" t="s">
        <v>692</v>
      </c>
      <c r="D145" s="25" t="s">
        <v>691</v>
      </c>
      <c r="E145" s="25" t="s">
        <v>1438</v>
      </c>
      <c r="F145" s="32">
        <v>154349.75</v>
      </c>
      <c r="G145" s="32">
        <v>154349.75</v>
      </c>
    </row>
    <row r="146" spans="1:7">
      <c r="A146" s="25" t="str">
        <f t="shared" si="2"/>
        <v>IN0529RIN00249</v>
      </c>
      <c r="B146" s="31">
        <v>5</v>
      </c>
      <c r="C146" s="25" t="s">
        <v>671</v>
      </c>
      <c r="D146" s="25" t="s">
        <v>670</v>
      </c>
      <c r="E146" s="25" t="s">
        <v>1256</v>
      </c>
      <c r="F146" s="32">
        <v>262569.65000000002</v>
      </c>
      <c r="G146" s="32">
        <v>262569.64999999997</v>
      </c>
    </row>
    <row r="147" spans="1:7">
      <c r="A147" s="25" t="str">
        <f t="shared" si="2"/>
        <v>IN0530RIN00267</v>
      </c>
      <c r="B147" s="31">
        <v>5</v>
      </c>
      <c r="C147" s="25" t="s">
        <v>327</v>
      </c>
      <c r="D147" s="25" t="s">
        <v>326</v>
      </c>
      <c r="E147" s="25" t="s">
        <v>1438</v>
      </c>
      <c r="F147" s="32">
        <v>154349.75</v>
      </c>
      <c r="G147" s="32">
        <v>154349.75</v>
      </c>
    </row>
    <row r="148" spans="1:7">
      <c r="A148" s="25" t="str">
        <f t="shared" si="2"/>
        <v>IN0531RIN00268</v>
      </c>
      <c r="B148" s="31">
        <v>5</v>
      </c>
      <c r="C148" s="25" t="s">
        <v>185</v>
      </c>
      <c r="D148" s="25" t="s">
        <v>184</v>
      </c>
      <c r="E148" s="25" t="s">
        <v>1438</v>
      </c>
      <c r="F148" s="32">
        <v>154349.75</v>
      </c>
      <c r="G148" s="32">
        <v>154349.75</v>
      </c>
    </row>
    <row r="149" spans="1:7">
      <c r="A149" s="25" t="str">
        <f t="shared" si="2"/>
        <v>MI0048RMI00095</v>
      </c>
      <c r="B149" s="31">
        <v>5</v>
      </c>
      <c r="C149" s="25" t="s">
        <v>222</v>
      </c>
      <c r="D149" s="25" t="s">
        <v>221</v>
      </c>
      <c r="E149" s="25" t="s">
        <v>1277</v>
      </c>
      <c r="F149" s="32">
        <v>396312.42999999993</v>
      </c>
      <c r="G149" s="32">
        <v>396312.43</v>
      </c>
    </row>
    <row r="150" spans="1:7">
      <c r="A150" s="25" t="str">
        <f t="shared" si="2"/>
        <v>MI0048RMI00173</v>
      </c>
      <c r="B150" s="31">
        <v>5</v>
      </c>
      <c r="C150" s="25" t="s">
        <v>222</v>
      </c>
      <c r="D150" s="25" t="s">
        <v>256</v>
      </c>
      <c r="E150" s="25" t="s">
        <v>1277</v>
      </c>
      <c r="F150" s="32">
        <v>284996.25000000006</v>
      </c>
      <c r="G150" s="32">
        <v>284996.25</v>
      </c>
    </row>
    <row r="151" spans="1:7">
      <c r="A151" s="25" t="str">
        <f t="shared" si="2"/>
        <v>MI0072RMI00341</v>
      </c>
      <c r="B151" s="31">
        <v>5</v>
      </c>
      <c r="C151" s="25" t="s">
        <v>351</v>
      </c>
      <c r="D151" s="25" t="s">
        <v>392</v>
      </c>
      <c r="E151" s="25" t="s">
        <v>1278</v>
      </c>
      <c r="F151" s="32">
        <v>77378.959999999992</v>
      </c>
      <c r="G151" s="32">
        <v>68894.260000000009</v>
      </c>
    </row>
    <row r="152" spans="1:7">
      <c r="A152" s="25" t="str">
        <f t="shared" si="2"/>
        <v>MI0072RMI00272</v>
      </c>
      <c r="B152" s="31">
        <v>5</v>
      </c>
      <c r="C152" s="25" t="s">
        <v>351</v>
      </c>
      <c r="D152" s="25" t="s">
        <v>350</v>
      </c>
      <c r="E152" s="25" t="s">
        <v>1278</v>
      </c>
      <c r="F152" s="32">
        <v>500745.98000000004</v>
      </c>
      <c r="G152" s="32">
        <v>500745.9800000001</v>
      </c>
    </row>
    <row r="153" spans="1:7">
      <c r="A153" s="25" t="str">
        <f t="shared" si="2"/>
        <v>MI0131VMI00007</v>
      </c>
      <c r="B153" s="31">
        <v>5</v>
      </c>
      <c r="C153" s="25" t="s">
        <v>406</v>
      </c>
      <c r="D153" s="25" t="s">
        <v>405</v>
      </c>
      <c r="E153" s="25" t="s">
        <v>1279</v>
      </c>
      <c r="F153" s="32">
        <v>1859548.7200000002</v>
      </c>
      <c r="G153" s="32">
        <v>1855979.4600000002</v>
      </c>
    </row>
    <row r="154" spans="1:7">
      <c r="A154" s="25" t="str">
        <f t="shared" si="2"/>
        <v>MI0501RMI00325</v>
      </c>
      <c r="B154" s="31">
        <v>5</v>
      </c>
      <c r="C154" s="25" t="s">
        <v>460</v>
      </c>
      <c r="D154" s="25" t="s">
        <v>459</v>
      </c>
      <c r="E154" s="25" t="s">
        <v>1280</v>
      </c>
      <c r="F154" s="32">
        <v>109734.57</v>
      </c>
      <c r="G154" s="32">
        <v>109734.56999999999</v>
      </c>
    </row>
    <row r="155" spans="1:7">
      <c r="A155" s="25" t="str">
        <f t="shared" si="2"/>
        <v>MI0501RMI00138</v>
      </c>
      <c r="B155" s="31">
        <v>5</v>
      </c>
      <c r="C155" s="25" t="s">
        <v>460</v>
      </c>
      <c r="D155" s="25" t="s">
        <v>481</v>
      </c>
      <c r="E155" s="25" t="s">
        <v>1280</v>
      </c>
      <c r="F155" s="32">
        <v>139108.56</v>
      </c>
      <c r="G155" s="32">
        <v>139108.56</v>
      </c>
    </row>
    <row r="156" spans="1:7">
      <c r="A156" s="25" t="str">
        <f t="shared" si="2"/>
        <v>MI0507RMI00275</v>
      </c>
      <c r="B156" s="31">
        <v>5</v>
      </c>
      <c r="C156" s="25" t="s">
        <v>224</v>
      </c>
      <c r="D156" s="25" t="s">
        <v>223</v>
      </c>
      <c r="E156" s="25" t="s">
        <v>1281</v>
      </c>
      <c r="F156" s="32">
        <v>194518.88</v>
      </c>
      <c r="G156" s="32">
        <v>194518.88000000003</v>
      </c>
    </row>
    <row r="157" spans="1:7">
      <c r="A157" s="25" t="str">
        <f t="shared" si="2"/>
        <v>MI0724RMI00342</v>
      </c>
      <c r="B157" s="31">
        <v>5</v>
      </c>
      <c r="C157" s="25" t="s">
        <v>627</v>
      </c>
      <c r="D157" s="25" t="s">
        <v>626</v>
      </c>
      <c r="E157" s="25" t="s">
        <v>1282</v>
      </c>
      <c r="F157" s="32">
        <v>165797.57999999999</v>
      </c>
      <c r="G157" s="32">
        <v>165797.57999999999</v>
      </c>
    </row>
    <row r="158" spans="1:7">
      <c r="A158" s="25" t="str">
        <f t="shared" si="2"/>
        <v>MN0015RMN00225</v>
      </c>
      <c r="B158" s="31">
        <v>5</v>
      </c>
      <c r="C158" s="25" t="s">
        <v>170</v>
      </c>
      <c r="D158" s="25" t="s">
        <v>407</v>
      </c>
      <c r="E158" s="25" t="s">
        <v>1283</v>
      </c>
      <c r="F158" s="32">
        <v>109324.18</v>
      </c>
      <c r="G158" s="32">
        <v>109324.18</v>
      </c>
    </row>
    <row r="159" spans="1:7">
      <c r="A159" s="25" t="str">
        <f t="shared" si="2"/>
        <v>MN0015RMN00193</v>
      </c>
      <c r="B159" s="31">
        <v>5</v>
      </c>
      <c r="C159" s="25" t="s">
        <v>170</v>
      </c>
      <c r="D159" s="25" t="s">
        <v>169</v>
      </c>
      <c r="E159" s="25" t="s">
        <v>1283</v>
      </c>
      <c r="F159" s="32">
        <v>2391913.9800000004</v>
      </c>
      <c r="G159" s="32">
        <v>2391913.9799999995</v>
      </c>
    </row>
    <row r="160" spans="1:7">
      <c r="A160" s="25" t="str">
        <f t="shared" si="2"/>
        <v>MN0021RMN00153</v>
      </c>
      <c r="B160" s="31">
        <v>5</v>
      </c>
      <c r="C160" s="25" t="s">
        <v>688</v>
      </c>
      <c r="D160" s="25" t="s">
        <v>687</v>
      </c>
      <c r="E160" s="25" t="s">
        <v>1284</v>
      </c>
      <c r="F160" s="32">
        <v>142714.5</v>
      </c>
      <c r="G160" s="32">
        <v>142714.5</v>
      </c>
    </row>
    <row r="161" spans="1:7">
      <c r="A161" s="25" t="str">
        <f t="shared" si="2"/>
        <v>MN0036RMN00187</v>
      </c>
      <c r="B161" s="31">
        <v>5</v>
      </c>
      <c r="C161" s="25" t="s">
        <v>179</v>
      </c>
      <c r="D161" s="25" t="s">
        <v>178</v>
      </c>
      <c r="E161" s="25" t="s">
        <v>1285</v>
      </c>
      <c r="F161" s="32">
        <v>888705.01</v>
      </c>
      <c r="G161" s="32">
        <v>888705.01</v>
      </c>
    </row>
    <row r="162" spans="1:7">
      <c r="A162" s="25" t="str">
        <f t="shared" si="2"/>
        <v>MN0036RMN00158</v>
      </c>
      <c r="B162" s="31">
        <v>5</v>
      </c>
      <c r="C162" s="25" t="s">
        <v>179</v>
      </c>
      <c r="D162" s="25" t="s">
        <v>186</v>
      </c>
      <c r="E162" s="25" t="s">
        <v>1285</v>
      </c>
      <c r="F162" s="32">
        <v>1897074.5199999998</v>
      </c>
      <c r="G162" s="32">
        <v>1897074.52</v>
      </c>
    </row>
    <row r="163" spans="1:7">
      <c r="A163" s="25" t="str">
        <f t="shared" si="2"/>
        <v>MN0076RMN00188</v>
      </c>
      <c r="B163" s="31">
        <v>5</v>
      </c>
      <c r="C163" s="25" t="s">
        <v>686</v>
      </c>
      <c r="D163" s="25" t="s">
        <v>685</v>
      </c>
      <c r="E163" s="25" t="s">
        <v>1286</v>
      </c>
      <c r="F163" s="32">
        <v>261955.77000000002</v>
      </c>
      <c r="G163" s="32">
        <v>261955.77</v>
      </c>
    </row>
    <row r="164" spans="1:7">
      <c r="A164" s="25" t="str">
        <f t="shared" si="2"/>
        <v>MN0086VMN00010</v>
      </c>
      <c r="B164" s="31">
        <v>5</v>
      </c>
      <c r="C164" s="25" t="s">
        <v>418</v>
      </c>
      <c r="D164" s="25" t="s">
        <v>425</v>
      </c>
      <c r="E164" s="25" t="s">
        <v>1287</v>
      </c>
      <c r="F164" s="32">
        <v>3473237.2300000004</v>
      </c>
      <c r="G164" s="32">
        <v>3210073.03</v>
      </c>
    </row>
    <row r="165" spans="1:7">
      <c r="A165" s="25" t="str">
        <f t="shared" si="2"/>
        <v>MN0086RMN00228</v>
      </c>
      <c r="B165" s="31">
        <v>5</v>
      </c>
      <c r="C165" s="25" t="s">
        <v>418</v>
      </c>
      <c r="D165" s="25" t="s">
        <v>363</v>
      </c>
      <c r="E165" s="25" t="s">
        <v>1287</v>
      </c>
      <c r="F165" s="32">
        <v>6975705.790000001</v>
      </c>
      <c r="G165" s="32">
        <v>5933468.1199999992</v>
      </c>
    </row>
    <row r="166" spans="1:7">
      <c r="A166" s="25" t="str">
        <f t="shared" si="2"/>
        <v>MN0087RMN00220</v>
      </c>
      <c r="B166" s="31">
        <v>5</v>
      </c>
      <c r="C166" s="25" t="s">
        <v>384</v>
      </c>
      <c r="D166" s="25" t="s">
        <v>383</v>
      </c>
      <c r="E166" s="25" t="s">
        <v>1288</v>
      </c>
      <c r="F166" s="32">
        <v>81444.61</v>
      </c>
      <c r="G166" s="32">
        <v>81444.61</v>
      </c>
    </row>
    <row r="167" spans="1:7">
      <c r="A167" s="25" t="str">
        <f t="shared" si="2"/>
        <v>MN0090RMN00197</v>
      </c>
      <c r="B167" s="31">
        <v>5</v>
      </c>
      <c r="C167" s="25" t="s">
        <v>667</v>
      </c>
      <c r="D167" s="25" t="s">
        <v>666</v>
      </c>
      <c r="E167" s="25" t="s">
        <v>1289</v>
      </c>
      <c r="F167" s="32">
        <v>524061.76</v>
      </c>
      <c r="G167" s="32">
        <v>524061.76</v>
      </c>
    </row>
    <row r="168" spans="1:7">
      <c r="A168" s="25" t="str">
        <f t="shared" si="2"/>
        <v>OH0189VOH00027</v>
      </c>
      <c r="B168" s="31">
        <v>5</v>
      </c>
      <c r="C168" s="25" t="s">
        <v>368</v>
      </c>
      <c r="D168" s="25" t="s">
        <v>367</v>
      </c>
      <c r="E168" s="25" t="s">
        <v>1334</v>
      </c>
      <c r="F168" s="32">
        <v>26554</v>
      </c>
      <c r="G168" s="32">
        <v>4492.5499999999993</v>
      </c>
    </row>
    <row r="169" spans="1:7">
      <c r="A169" s="25" t="str">
        <f t="shared" si="2"/>
        <v>OH0189VOH00023</v>
      </c>
      <c r="B169" s="31">
        <v>5</v>
      </c>
      <c r="C169" s="25" t="s">
        <v>368</v>
      </c>
      <c r="D169" s="25" t="s">
        <v>465</v>
      </c>
      <c r="E169" s="25" t="s">
        <v>1334</v>
      </c>
      <c r="F169" s="32">
        <v>404692</v>
      </c>
      <c r="G169" s="32">
        <v>326196.52</v>
      </c>
    </row>
    <row r="170" spans="1:7">
      <c r="A170" s="25" t="str">
        <f t="shared" si="2"/>
        <v>OH0192VOH00013</v>
      </c>
      <c r="B170" s="31">
        <v>5</v>
      </c>
      <c r="C170" s="25" t="s">
        <v>371</v>
      </c>
      <c r="D170" s="25" t="s">
        <v>370</v>
      </c>
      <c r="E170" s="25" t="s">
        <v>1335</v>
      </c>
      <c r="F170" s="32">
        <v>2235395.0699999998</v>
      </c>
      <c r="G170" s="32" t="s">
        <v>1479</v>
      </c>
    </row>
    <row r="171" spans="1:7">
      <c r="A171" s="25" t="str">
        <f t="shared" si="2"/>
        <v>OH0194ROH00433</v>
      </c>
      <c r="B171" s="31">
        <v>5</v>
      </c>
      <c r="C171" s="25" t="s">
        <v>288</v>
      </c>
      <c r="D171" s="25" t="s">
        <v>458</v>
      </c>
      <c r="E171" s="25" t="s">
        <v>1336</v>
      </c>
      <c r="F171" s="32">
        <v>72836.150000000009</v>
      </c>
      <c r="G171" s="32">
        <v>72836.149999999994</v>
      </c>
    </row>
    <row r="172" spans="1:7">
      <c r="A172" s="25" t="str">
        <f t="shared" si="2"/>
        <v>OH0194ROH00378</v>
      </c>
      <c r="B172" s="31">
        <v>5</v>
      </c>
      <c r="C172" s="25" t="s">
        <v>288</v>
      </c>
      <c r="D172" s="25" t="s">
        <v>287</v>
      </c>
      <c r="E172" s="25" t="s">
        <v>1336</v>
      </c>
      <c r="F172" s="32">
        <v>1478633.2799999998</v>
      </c>
      <c r="G172" s="32">
        <v>1478633.2800000005</v>
      </c>
    </row>
    <row r="173" spans="1:7">
      <c r="A173" s="25" t="str">
        <f t="shared" si="2"/>
        <v>OH0208ROH00431</v>
      </c>
      <c r="B173" s="31">
        <v>5</v>
      </c>
      <c r="C173" s="25" t="s">
        <v>453</v>
      </c>
      <c r="D173" s="25" t="s">
        <v>452</v>
      </c>
      <c r="E173" s="25" t="s">
        <v>1337</v>
      </c>
      <c r="F173" s="32">
        <v>110739.69</v>
      </c>
      <c r="G173" s="32">
        <v>110739.69</v>
      </c>
    </row>
    <row r="174" spans="1:7">
      <c r="A174" s="25" t="str">
        <f t="shared" si="2"/>
        <v>OH0514ROH00432</v>
      </c>
      <c r="B174" s="31">
        <v>5</v>
      </c>
      <c r="C174" s="25" t="s">
        <v>439</v>
      </c>
      <c r="D174" s="25" t="s">
        <v>438</v>
      </c>
      <c r="E174" s="25" t="s">
        <v>1338</v>
      </c>
      <c r="F174" s="32">
        <v>129750.08000000002</v>
      </c>
      <c r="G174" s="32">
        <v>129750.08</v>
      </c>
    </row>
    <row r="175" spans="1:7">
      <c r="A175" s="25" t="str">
        <f t="shared" si="2"/>
        <v>WI0044RWI00046</v>
      </c>
      <c r="B175" s="31">
        <v>5</v>
      </c>
      <c r="C175" s="25" t="s">
        <v>448</v>
      </c>
      <c r="D175" s="25" t="s">
        <v>447</v>
      </c>
      <c r="E175" s="25" t="s">
        <v>1415</v>
      </c>
      <c r="F175" s="32">
        <v>59388</v>
      </c>
      <c r="G175" s="32">
        <v>59388</v>
      </c>
    </row>
    <row r="176" spans="1:7">
      <c r="A176" s="25" t="str">
        <f t="shared" si="2"/>
        <v>IA0112RIA00110</v>
      </c>
      <c r="B176" s="31">
        <v>6</v>
      </c>
      <c r="C176" s="25" t="s">
        <v>526</v>
      </c>
      <c r="D176" s="25" t="s">
        <v>525</v>
      </c>
      <c r="E176" s="25" t="s">
        <v>1234</v>
      </c>
      <c r="F176" s="32">
        <v>38654.599999999977</v>
      </c>
      <c r="G176" s="32">
        <v>38654.600000000006</v>
      </c>
    </row>
    <row r="177" spans="1:7">
      <c r="A177" s="25" t="str">
        <f t="shared" si="2"/>
        <v>IA0119RIA00074</v>
      </c>
      <c r="B177" s="31">
        <v>6</v>
      </c>
      <c r="C177" s="25" t="s">
        <v>446</v>
      </c>
      <c r="D177" s="25" t="s">
        <v>520</v>
      </c>
      <c r="E177" s="25" t="s">
        <v>1235</v>
      </c>
      <c r="F177" s="32">
        <v>77654</v>
      </c>
      <c r="G177" s="32">
        <v>45518.17</v>
      </c>
    </row>
    <row r="178" spans="1:7">
      <c r="A178" s="25" t="str">
        <f t="shared" si="2"/>
        <v>IA0119RIA00089</v>
      </c>
      <c r="B178" s="31">
        <v>6</v>
      </c>
      <c r="C178" s="25" t="s">
        <v>446</v>
      </c>
      <c r="D178" s="25" t="s">
        <v>527</v>
      </c>
      <c r="E178" s="25" t="s">
        <v>1235</v>
      </c>
      <c r="F178" s="32">
        <v>14874.6</v>
      </c>
      <c r="G178" s="32">
        <v>14874.6</v>
      </c>
    </row>
    <row r="179" spans="1:7">
      <c r="A179" s="25" t="str">
        <f t="shared" si="2"/>
        <v>IA0119RIA00072</v>
      </c>
      <c r="B179" s="31">
        <v>6</v>
      </c>
      <c r="C179" s="25" t="s">
        <v>446</v>
      </c>
      <c r="D179" s="25" t="s">
        <v>445</v>
      </c>
      <c r="E179" s="25" t="s">
        <v>1235</v>
      </c>
      <c r="F179" s="32">
        <v>565272.28</v>
      </c>
      <c r="G179" s="32">
        <v>565272.28</v>
      </c>
    </row>
    <row r="180" spans="1:7">
      <c r="A180" s="25" t="str">
        <f t="shared" si="2"/>
        <v>IA0119RIA00120</v>
      </c>
      <c r="B180" s="31">
        <v>6</v>
      </c>
      <c r="C180" s="25" t="s">
        <v>446</v>
      </c>
      <c r="D180" s="25" t="s">
        <v>653</v>
      </c>
      <c r="E180" s="25" t="s">
        <v>1235</v>
      </c>
      <c r="F180" s="32">
        <v>896985</v>
      </c>
      <c r="G180" s="32">
        <v>896985</v>
      </c>
    </row>
    <row r="181" spans="1:7">
      <c r="A181" s="25" t="str">
        <f t="shared" si="2"/>
        <v>KS0092RKS00045</v>
      </c>
      <c r="B181" s="31">
        <v>6</v>
      </c>
      <c r="C181" s="25" t="s">
        <v>49</v>
      </c>
      <c r="D181" s="25" t="s">
        <v>530</v>
      </c>
      <c r="E181" s="25" t="s">
        <v>1259</v>
      </c>
      <c r="F181" s="32">
        <v>98822.54</v>
      </c>
      <c r="G181" s="32">
        <v>85935.25</v>
      </c>
    </row>
    <row r="182" spans="1:7">
      <c r="A182" s="25" t="str">
        <f t="shared" si="2"/>
        <v>KS0092RKS00048</v>
      </c>
      <c r="B182" s="31">
        <v>6</v>
      </c>
      <c r="C182" s="25" t="s">
        <v>49</v>
      </c>
      <c r="D182" s="25" t="s">
        <v>546</v>
      </c>
      <c r="E182" s="25" t="s">
        <v>1259</v>
      </c>
      <c r="F182" s="32">
        <v>116271.35</v>
      </c>
      <c r="G182" s="32">
        <v>116271.35</v>
      </c>
    </row>
    <row r="183" spans="1:7">
      <c r="A183" s="25" t="str">
        <f t="shared" si="2"/>
        <v>KS0092RKS00046</v>
      </c>
      <c r="B183" s="31">
        <v>6</v>
      </c>
      <c r="C183" s="25" t="s">
        <v>49</v>
      </c>
      <c r="D183" s="25" t="s">
        <v>483</v>
      </c>
      <c r="E183" s="25" t="s">
        <v>1259</v>
      </c>
      <c r="F183" s="32">
        <v>227005.56</v>
      </c>
      <c r="G183" s="32">
        <v>227005.56</v>
      </c>
    </row>
    <row r="184" spans="1:7">
      <c r="A184" s="25" t="str">
        <f t="shared" si="2"/>
        <v>KS0092RKS00044</v>
      </c>
      <c r="B184" s="31">
        <v>6</v>
      </c>
      <c r="C184" s="25" t="s">
        <v>49</v>
      </c>
      <c r="D184" s="25" t="s">
        <v>48</v>
      </c>
      <c r="E184" s="25" t="s">
        <v>1259</v>
      </c>
      <c r="F184" s="32">
        <v>2339604.4499999997</v>
      </c>
      <c r="G184" s="32">
        <v>2339604.450000002</v>
      </c>
    </row>
    <row r="185" spans="1:7">
      <c r="A185" s="25" t="str">
        <f t="shared" si="2"/>
        <v>MO0050RMO00356</v>
      </c>
      <c r="B185" s="31">
        <v>6</v>
      </c>
      <c r="C185" s="25" t="s">
        <v>389</v>
      </c>
      <c r="D185" s="25" t="s">
        <v>388</v>
      </c>
      <c r="E185" s="25" t="s">
        <v>1295</v>
      </c>
      <c r="F185" s="32">
        <v>552144</v>
      </c>
      <c r="G185" s="32">
        <v>547584</v>
      </c>
    </row>
    <row r="186" spans="1:7">
      <c r="A186" s="25" t="str">
        <f t="shared" si="2"/>
        <v>MO0121RMO00355</v>
      </c>
      <c r="B186" s="31">
        <v>6</v>
      </c>
      <c r="C186" s="25" t="s">
        <v>98</v>
      </c>
      <c r="D186" s="25" t="s">
        <v>689</v>
      </c>
      <c r="E186" s="25" t="s">
        <v>1291</v>
      </c>
      <c r="F186" s="32">
        <v>20745</v>
      </c>
      <c r="G186" s="32">
        <v>20745</v>
      </c>
    </row>
    <row r="187" spans="1:7">
      <c r="A187" s="25" t="str">
        <f t="shared" si="2"/>
        <v>MO0121RMO00353</v>
      </c>
      <c r="B187" s="31">
        <v>6</v>
      </c>
      <c r="C187" s="25" t="s">
        <v>98</v>
      </c>
      <c r="D187" s="25" t="s">
        <v>97</v>
      </c>
      <c r="E187" s="25" t="s">
        <v>1291</v>
      </c>
      <c r="F187" s="32">
        <v>638588.62999999989</v>
      </c>
      <c r="G187" s="32">
        <v>638588.62999999989</v>
      </c>
    </row>
    <row r="188" spans="1:7">
      <c r="A188" s="25" t="str">
        <f t="shared" si="2"/>
        <v>MO0121RMO00354</v>
      </c>
      <c r="B188" s="31">
        <v>6</v>
      </c>
      <c r="C188" s="25" t="s">
        <v>98</v>
      </c>
      <c r="D188" s="25" t="s">
        <v>395</v>
      </c>
      <c r="E188" s="25" t="s">
        <v>1291</v>
      </c>
      <c r="F188" s="32">
        <v>774000</v>
      </c>
      <c r="G188" s="32">
        <v>774000</v>
      </c>
    </row>
    <row r="189" spans="1:7">
      <c r="A189" s="25" t="str">
        <f t="shared" si="2"/>
        <v>MO0127RMO00376</v>
      </c>
      <c r="B189" s="31">
        <v>6</v>
      </c>
      <c r="C189" s="25" t="s">
        <v>522</v>
      </c>
      <c r="D189" s="25" t="s">
        <v>521</v>
      </c>
      <c r="E189" s="25" t="s">
        <v>1439</v>
      </c>
      <c r="F189" s="32">
        <v>36600.5</v>
      </c>
      <c r="G189" s="32">
        <v>36600.499999999993</v>
      </c>
    </row>
    <row r="190" spans="1:7">
      <c r="A190" s="25" t="str">
        <f t="shared" si="2"/>
        <v>MO0559RMO00344</v>
      </c>
      <c r="B190" s="31">
        <v>6</v>
      </c>
      <c r="C190" s="25" t="s">
        <v>361</v>
      </c>
      <c r="D190" s="25" t="s">
        <v>360</v>
      </c>
      <c r="E190" s="25" t="s">
        <v>1295</v>
      </c>
      <c r="F190" s="32">
        <v>95119</v>
      </c>
      <c r="G190" s="32">
        <v>90559</v>
      </c>
    </row>
    <row r="191" spans="1:7">
      <c r="A191" s="25" t="str">
        <f t="shared" si="2"/>
        <v>MO0562RMO00345</v>
      </c>
      <c r="B191" s="31">
        <v>6</v>
      </c>
      <c r="C191" s="25" t="s">
        <v>467</v>
      </c>
      <c r="D191" s="25" t="s">
        <v>466</v>
      </c>
      <c r="E191" s="25" t="s">
        <v>1295</v>
      </c>
      <c r="F191" s="32">
        <v>95119</v>
      </c>
      <c r="G191" s="32">
        <v>90559</v>
      </c>
    </row>
    <row r="192" spans="1:7">
      <c r="A192" s="25" t="str">
        <f t="shared" si="2"/>
        <v>MO0570RMO00394</v>
      </c>
      <c r="B192" s="31">
        <v>6</v>
      </c>
      <c r="C192" s="25" t="s">
        <v>263</v>
      </c>
      <c r="D192" s="25" t="s">
        <v>262</v>
      </c>
      <c r="E192" s="25" t="s">
        <v>1294</v>
      </c>
      <c r="F192" s="32">
        <v>2705912</v>
      </c>
      <c r="G192" s="32">
        <v>2705912</v>
      </c>
    </row>
    <row r="193" spans="1:7">
      <c r="A193" s="25" t="str">
        <f t="shared" si="2"/>
        <v>MO0601RMO00330</v>
      </c>
      <c r="B193" s="31">
        <v>6</v>
      </c>
      <c r="C193" s="25" t="s">
        <v>444</v>
      </c>
      <c r="D193" s="25" t="s">
        <v>443</v>
      </c>
      <c r="E193" s="25" t="s">
        <v>1295</v>
      </c>
      <c r="F193" s="32">
        <v>29411</v>
      </c>
      <c r="G193" s="32">
        <v>29411.000000000004</v>
      </c>
    </row>
    <row r="194" spans="1:7">
      <c r="A194" s="25" t="str">
        <f t="shared" si="2"/>
        <v>MO0602RMO00327</v>
      </c>
      <c r="B194" s="31">
        <v>6</v>
      </c>
      <c r="C194" s="25" t="s">
        <v>489</v>
      </c>
      <c r="D194" s="25" t="s">
        <v>488</v>
      </c>
      <c r="E194" s="25" t="s">
        <v>1295</v>
      </c>
      <c r="F194" s="32">
        <v>104225.42</v>
      </c>
      <c r="G194" s="32">
        <v>99665.42</v>
      </c>
    </row>
    <row r="195" spans="1:7">
      <c r="A195" s="25" t="str">
        <f t="shared" si="2"/>
        <v>MO0603RMO00348</v>
      </c>
      <c r="B195" s="31">
        <v>6</v>
      </c>
      <c r="C195" s="25" t="s">
        <v>505</v>
      </c>
      <c r="D195" s="25" t="s">
        <v>504</v>
      </c>
      <c r="E195" s="25" t="s">
        <v>1295</v>
      </c>
      <c r="F195" s="32">
        <v>29788</v>
      </c>
      <c r="G195" s="32">
        <v>29788</v>
      </c>
    </row>
    <row r="196" spans="1:7">
      <c r="A196" s="25" t="str">
        <f t="shared" si="2"/>
        <v>MO0604RMO00349</v>
      </c>
      <c r="B196" s="31">
        <v>6</v>
      </c>
      <c r="C196" s="25" t="s">
        <v>441</v>
      </c>
      <c r="D196" s="25" t="s">
        <v>440</v>
      </c>
      <c r="E196" s="25" t="s">
        <v>1295</v>
      </c>
      <c r="F196" s="32">
        <v>31147.399999999994</v>
      </c>
      <c r="G196" s="32">
        <v>31147.4</v>
      </c>
    </row>
    <row r="197" spans="1:7">
      <c r="A197" s="25" t="str">
        <f t="shared" ref="A197:A260" si="3">LEFT(C197,6)&amp;D197</f>
        <v>MO0605RMO19635</v>
      </c>
      <c r="B197" s="31">
        <v>6</v>
      </c>
      <c r="C197" s="25" t="s">
        <v>198</v>
      </c>
      <c r="D197" s="25" t="s">
        <v>428</v>
      </c>
      <c r="E197" s="25" t="s">
        <v>1298</v>
      </c>
      <c r="F197" s="32">
        <v>229093.7</v>
      </c>
      <c r="G197" s="32">
        <v>229093.7</v>
      </c>
    </row>
    <row r="198" spans="1:7">
      <c r="A198" s="25" t="str">
        <f t="shared" si="3"/>
        <v>MO0605RMO00253</v>
      </c>
      <c r="B198" s="31">
        <v>6</v>
      </c>
      <c r="C198" s="25" t="s">
        <v>198</v>
      </c>
      <c r="D198" s="25" t="s">
        <v>197</v>
      </c>
      <c r="E198" s="25" t="s">
        <v>1297</v>
      </c>
      <c r="F198" s="32">
        <v>469874.11999999988</v>
      </c>
      <c r="G198" s="32">
        <v>469874.12</v>
      </c>
    </row>
    <row r="199" spans="1:7">
      <c r="A199" s="25" t="str">
        <f t="shared" si="3"/>
        <v>MO0605RMO00331</v>
      </c>
      <c r="B199" s="31">
        <v>6</v>
      </c>
      <c r="C199" s="25" t="s">
        <v>198</v>
      </c>
      <c r="D199" s="25" t="s">
        <v>429</v>
      </c>
      <c r="E199" s="25" t="s">
        <v>1295</v>
      </c>
      <c r="F199" s="32">
        <v>78340.42</v>
      </c>
      <c r="G199" s="32">
        <v>73780.42</v>
      </c>
    </row>
    <row r="200" spans="1:7">
      <c r="A200" s="25" t="str">
        <f t="shared" si="3"/>
        <v>MO0606RMO00332</v>
      </c>
      <c r="B200" s="31">
        <v>6</v>
      </c>
      <c r="C200" s="25" t="s">
        <v>435</v>
      </c>
      <c r="D200" s="25" t="s">
        <v>434</v>
      </c>
      <c r="E200" s="25" t="s">
        <v>1295</v>
      </c>
      <c r="F200" s="32">
        <v>196845.41999999998</v>
      </c>
      <c r="G200" s="32">
        <v>187985.42</v>
      </c>
    </row>
    <row r="201" spans="1:7">
      <c r="A201" s="25" t="str">
        <f t="shared" si="3"/>
        <v>MO0607RMO00333</v>
      </c>
      <c r="B201" s="31">
        <v>6</v>
      </c>
      <c r="C201" s="25" t="s">
        <v>397</v>
      </c>
      <c r="D201" s="25" t="s">
        <v>396</v>
      </c>
      <c r="E201" s="25" t="s">
        <v>1295</v>
      </c>
      <c r="F201" s="32">
        <v>36338.420000000006</v>
      </c>
      <c r="G201" s="32">
        <v>36338.42</v>
      </c>
    </row>
    <row r="202" spans="1:7">
      <c r="A202" s="25" t="str">
        <f t="shared" si="3"/>
        <v>MO0608RMO19638</v>
      </c>
      <c r="B202" s="31">
        <v>6</v>
      </c>
      <c r="C202" s="25" t="s">
        <v>204</v>
      </c>
      <c r="D202" s="25" t="s">
        <v>492</v>
      </c>
      <c r="E202" s="25" t="s">
        <v>1298</v>
      </c>
      <c r="F202" s="32">
        <v>164859.40000000002</v>
      </c>
      <c r="G202" s="32">
        <v>164859.4</v>
      </c>
    </row>
    <row r="203" spans="1:7">
      <c r="A203" s="25" t="str">
        <f t="shared" si="3"/>
        <v>MO0608RMO00255</v>
      </c>
      <c r="B203" s="31">
        <v>6</v>
      </c>
      <c r="C203" s="25" t="s">
        <v>204</v>
      </c>
      <c r="D203" s="25" t="s">
        <v>203</v>
      </c>
      <c r="E203" s="25" t="s">
        <v>1297</v>
      </c>
      <c r="F203" s="32">
        <v>481971.65999999992</v>
      </c>
      <c r="G203" s="32">
        <v>481971.66000000003</v>
      </c>
    </row>
    <row r="204" spans="1:7">
      <c r="A204" s="25" t="str">
        <f t="shared" si="3"/>
        <v>MO0608RMO00334</v>
      </c>
      <c r="B204" s="31">
        <v>6</v>
      </c>
      <c r="C204" s="25" t="s">
        <v>204</v>
      </c>
      <c r="D204" s="25" t="s">
        <v>513</v>
      </c>
      <c r="E204" s="25" t="s">
        <v>1295</v>
      </c>
      <c r="F204" s="32">
        <v>36338.420000000006</v>
      </c>
      <c r="G204" s="32">
        <v>36338.42</v>
      </c>
    </row>
    <row r="205" spans="1:7">
      <c r="A205" s="25" t="str">
        <f t="shared" si="3"/>
        <v>MO0611RMO00256</v>
      </c>
      <c r="B205" s="31">
        <v>6</v>
      </c>
      <c r="C205" s="25" t="s">
        <v>196</v>
      </c>
      <c r="D205" s="25" t="s">
        <v>195</v>
      </c>
      <c r="E205" s="25" t="s">
        <v>1297</v>
      </c>
      <c r="F205" s="32">
        <v>515026.94999999995</v>
      </c>
      <c r="G205" s="32">
        <v>515026.95</v>
      </c>
    </row>
    <row r="206" spans="1:7">
      <c r="A206" s="25" t="str">
        <f t="shared" si="3"/>
        <v>MO0611RMO00337</v>
      </c>
      <c r="B206" s="31">
        <v>6</v>
      </c>
      <c r="C206" s="25" t="s">
        <v>196</v>
      </c>
      <c r="D206" s="25" t="s">
        <v>496</v>
      </c>
      <c r="E206" s="25" t="s">
        <v>1295</v>
      </c>
      <c r="F206" s="32">
        <v>36338.42</v>
      </c>
      <c r="G206" s="32">
        <v>36338.42</v>
      </c>
    </row>
    <row r="207" spans="1:7">
      <c r="A207" s="25" t="str">
        <f t="shared" si="3"/>
        <v>MO0612RMO00328</v>
      </c>
      <c r="B207" s="31">
        <v>6</v>
      </c>
      <c r="C207" s="25" t="s">
        <v>474</v>
      </c>
      <c r="D207" s="25" t="s">
        <v>473</v>
      </c>
      <c r="E207" s="25" t="s">
        <v>1295</v>
      </c>
      <c r="F207" s="32">
        <v>142175.41999999998</v>
      </c>
      <c r="G207" s="32">
        <v>137615.42000000001</v>
      </c>
    </row>
    <row r="208" spans="1:7">
      <c r="A208" s="25" t="str">
        <f t="shared" si="3"/>
        <v>MO0613RMO00302</v>
      </c>
      <c r="B208" s="31">
        <v>6</v>
      </c>
      <c r="C208" s="25" t="s">
        <v>202</v>
      </c>
      <c r="D208" s="25" t="s">
        <v>201</v>
      </c>
      <c r="E208" s="25" t="s">
        <v>1299</v>
      </c>
      <c r="F208" s="32">
        <v>604956.82999999984</v>
      </c>
      <c r="G208" s="32">
        <v>604956.83000000007</v>
      </c>
    </row>
    <row r="209" spans="1:7">
      <c r="A209" s="25" t="str">
        <f t="shared" si="3"/>
        <v>MO0613RMO00338</v>
      </c>
      <c r="B209" s="31">
        <v>6</v>
      </c>
      <c r="C209" s="25" t="s">
        <v>202</v>
      </c>
      <c r="D209" s="25" t="s">
        <v>507</v>
      </c>
      <c r="E209" s="25" t="s">
        <v>1295</v>
      </c>
      <c r="F209" s="32">
        <v>36338.420000000006</v>
      </c>
      <c r="G209" s="32">
        <v>36338.42</v>
      </c>
    </row>
    <row r="210" spans="1:7">
      <c r="A210" s="25" t="str">
        <f t="shared" si="3"/>
        <v>MO0614RMO00257</v>
      </c>
      <c r="B210" s="31">
        <v>6</v>
      </c>
      <c r="C210" s="25" t="s">
        <v>210</v>
      </c>
      <c r="D210" s="25" t="s">
        <v>209</v>
      </c>
      <c r="E210" s="25" t="s">
        <v>1299</v>
      </c>
      <c r="F210" s="32">
        <v>557721.82000000007</v>
      </c>
      <c r="G210" s="32">
        <v>557721.81999999995</v>
      </c>
    </row>
    <row r="211" spans="1:7">
      <c r="A211" s="25" t="str">
        <f t="shared" si="3"/>
        <v>MO0614RMO00339</v>
      </c>
      <c r="B211" s="31">
        <v>6</v>
      </c>
      <c r="C211" s="25" t="s">
        <v>210</v>
      </c>
      <c r="D211" s="25" t="s">
        <v>632</v>
      </c>
      <c r="E211" s="25" t="s">
        <v>1295</v>
      </c>
      <c r="F211" s="32">
        <v>14587.399999999996</v>
      </c>
      <c r="G211" s="32">
        <v>14587.4</v>
      </c>
    </row>
    <row r="212" spans="1:7">
      <c r="A212" s="25" t="str">
        <f t="shared" si="3"/>
        <v>MO0615RMO19645</v>
      </c>
      <c r="B212" s="31">
        <v>6</v>
      </c>
      <c r="C212" s="25" t="s">
        <v>386</v>
      </c>
      <c r="D212" s="25" t="s">
        <v>437</v>
      </c>
      <c r="E212" s="25" t="s">
        <v>1298</v>
      </c>
      <c r="F212" s="32">
        <v>117190.99999999997</v>
      </c>
      <c r="G212" s="32">
        <v>117191</v>
      </c>
    </row>
    <row r="213" spans="1:7">
      <c r="A213" s="25" t="str">
        <f t="shared" si="3"/>
        <v>MO0615RMO00258</v>
      </c>
      <c r="B213" s="31">
        <v>6</v>
      </c>
      <c r="C213" s="25" t="s">
        <v>386</v>
      </c>
      <c r="D213" s="25" t="s">
        <v>385</v>
      </c>
      <c r="E213" s="25" t="s">
        <v>1299</v>
      </c>
      <c r="F213" s="32">
        <v>583740</v>
      </c>
      <c r="G213" s="32">
        <v>583740</v>
      </c>
    </row>
    <row r="214" spans="1:7">
      <c r="A214" s="25" t="str">
        <f t="shared" si="3"/>
        <v>MO0615RMO00340</v>
      </c>
      <c r="B214" s="31">
        <v>6</v>
      </c>
      <c r="C214" s="25" t="s">
        <v>386</v>
      </c>
      <c r="D214" s="25" t="s">
        <v>506</v>
      </c>
      <c r="E214" s="25" t="s">
        <v>1295</v>
      </c>
      <c r="F214" s="32">
        <v>36338.420000000006</v>
      </c>
      <c r="G214" s="32">
        <v>36338.42</v>
      </c>
    </row>
    <row r="215" spans="1:7">
      <c r="A215" s="25" t="str">
        <f t="shared" si="3"/>
        <v>MO0616RMO19639</v>
      </c>
      <c r="B215" s="31">
        <v>6</v>
      </c>
      <c r="C215" s="25" t="s">
        <v>366</v>
      </c>
      <c r="D215" s="25" t="s">
        <v>365</v>
      </c>
      <c r="E215" s="25" t="s">
        <v>1298</v>
      </c>
      <c r="F215" s="32">
        <v>298446</v>
      </c>
      <c r="G215" s="32">
        <v>298446</v>
      </c>
    </row>
    <row r="216" spans="1:7">
      <c r="A216" s="25" t="str">
        <f t="shared" si="3"/>
        <v>MO0616RMO00335</v>
      </c>
      <c r="B216" s="31">
        <v>6</v>
      </c>
      <c r="C216" s="25" t="s">
        <v>366</v>
      </c>
      <c r="D216" s="25" t="s">
        <v>387</v>
      </c>
      <c r="E216" s="25" t="s">
        <v>1295</v>
      </c>
      <c r="F216" s="32">
        <v>62892.420000000006</v>
      </c>
      <c r="G216" s="32">
        <v>58332.42</v>
      </c>
    </row>
    <row r="217" spans="1:7">
      <c r="A217" s="25" t="str">
        <f t="shared" si="3"/>
        <v>MO0620RMO00260</v>
      </c>
      <c r="B217" s="31">
        <v>6</v>
      </c>
      <c r="C217" s="25" t="s">
        <v>194</v>
      </c>
      <c r="D217" s="25" t="s">
        <v>193</v>
      </c>
      <c r="E217" s="25" t="s">
        <v>1299</v>
      </c>
      <c r="F217" s="32">
        <v>594602.98</v>
      </c>
      <c r="G217" s="32">
        <v>594602.98</v>
      </c>
    </row>
    <row r="218" spans="1:7">
      <c r="A218" s="25" t="str">
        <f t="shared" si="3"/>
        <v>MO0622RMO00288</v>
      </c>
      <c r="B218" s="31">
        <v>6</v>
      </c>
      <c r="C218" s="25" t="s">
        <v>472</v>
      </c>
      <c r="D218" s="25" t="s">
        <v>471</v>
      </c>
      <c r="E218" s="25" t="s">
        <v>1299</v>
      </c>
      <c r="F218" s="32">
        <v>183565.37</v>
      </c>
      <c r="G218" s="32">
        <v>183565.36999999997</v>
      </c>
    </row>
    <row r="219" spans="1:7">
      <c r="A219" s="25" t="str">
        <f t="shared" si="3"/>
        <v>MO0623RMO00259</v>
      </c>
      <c r="B219" s="31">
        <v>6</v>
      </c>
      <c r="C219" s="25" t="s">
        <v>503</v>
      </c>
      <c r="D219" s="25" t="s">
        <v>502</v>
      </c>
      <c r="E219" s="25" t="s">
        <v>1299</v>
      </c>
      <c r="F219" s="32">
        <v>167471.70000000001</v>
      </c>
      <c r="G219" s="32">
        <v>167471.69999999998</v>
      </c>
    </row>
    <row r="220" spans="1:7">
      <c r="A220" s="25" t="str">
        <f t="shared" si="3"/>
        <v>MO0625RMO00261</v>
      </c>
      <c r="B220" s="31">
        <v>6</v>
      </c>
      <c r="C220" s="25" t="s">
        <v>457</v>
      </c>
      <c r="D220" s="25" t="s">
        <v>456</v>
      </c>
      <c r="E220" s="25" t="s">
        <v>1299</v>
      </c>
      <c r="F220" s="32">
        <v>76017</v>
      </c>
      <c r="G220" s="32">
        <v>76017</v>
      </c>
    </row>
    <row r="221" spans="1:7">
      <c r="A221" s="25" t="str">
        <f t="shared" si="3"/>
        <v>MO0626RMO00303</v>
      </c>
      <c r="B221" s="31">
        <v>6</v>
      </c>
      <c r="C221" s="25" t="s">
        <v>200</v>
      </c>
      <c r="D221" s="25" t="s">
        <v>199</v>
      </c>
      <c r="E221" s="25" t="s">
        <v>1297</v>
      </c>
      <c r="F221" s="32">
        <v>165614.97</v>
      </c>
      <c r="G221" s="32">
        <v>165614.97</v>
      </c>
    </row>
    <row r="222" spans="1:7">
      <c r="A222" s="25" t="str">
        <f t="shared" si="3"/>
        <v>NE0018RNE00047</v>
      </c>
      <c r="B222" s="31">
        <v>6</v>
      </c>
      <c r="C222" s="25" t="s">
        <v>241</v>
      </c>
      <c r="D222" s="25" t="s">
        <v>528</v>
      </c>
      <c r="E222" s="25" t="s">
        <v>1307</v>
      </c>
      <c r="F222" s="32">
        <v>53273.01</v>
      </c>
      <c r="G222" s="32">
        <v>52563.89</v>
      </c>
    </row>
    <row r="223" spans="1:7">
      <c r="A223" s="25" t="str">
        <f t="shared" si="3"/>
        <v>NE0018RNE00057</v>
      </c>
      <c r="B223" s="31">
        <v>6</v>
      </c>
      <c r="C223" s="25" t="s">
        <v>241</v>
      </c>
      <c r="D223" s="25" t="s">
        <v>500</v>
      </c>
      <c r="E223" s="25" t="s">
        <v>1307</v>
      </c>
      <c r="F223" s="32">
        <v>67593.7</v>
      </c>
      <c r="G223" s="32">
        <v>67593.7</v>
      </c>
    </row>
    <row r="224" spans="1:7">
      <c r="A224" s="25" t="str">
        <f t="shared" si="3"/>
        <v>NE0018RNE00045</v>
      </c>
      <c r="B224" s="31">
        <v>6</v>
      </c>
      <c r="C224" s="25" t="s">
        <v>241</v>
      </c>
      <c r="D224" s="25" t="s">
        <v>240</v>
      </c>
      <c r="E224" s="25" t="s">
        <v>1307</v>
      </c>
      <c r="F224" s="32">
        <v>1850260.5299999998</v>
      </c>
      <c r="G224" s="32">
        <v>1850260.53</v>
      </c>
    </row>
    <row r="225" spans="1:7">
      <c r="A225" s="25" t="str">
        <f t="shared" si="3"/>
        <v>AR0021RAR00057</v>
      </c>
      <c r="B225" s="31">
        <v>7</v>
      </c>
      <c r="C225" s="25" t="s">
        <v>251</v>
      </c>
      <c r="D225" s="25" t="s">
        <v>250</v>
      </c>
      <c r="E225" s="25" t="s">
        <v>1150</v>
      </c>
      <c r="F225" s="32">
        <v>1045346.1500000001</v>
      </c>
      <c r="G225" s="32">
        <v>1045346.15</v>
      </c>
    </row>
    <row r="226" spans="1:7">
      <c r="A226" s="25" t="str">
        <f t="shared" si="3"/>
        <v>AR0057RAR00062</v>
      </c>
      <c r="B226" s="31">
        <v>7</v>
      </c>
      <c r="C226" s="25" t="s">
        <v>5</v>
      </c>
      <c r="D226" s="25" t="s">
        <v>4</v>
      </c>
      <c r="E226" s="25" t="s">
        <v>1151</v>
      </c>
      <c r="F226" s="32">
        <v>573931.85</v>
      </c>
      <c r="G226" s="32">
        <v>573931.85</v>
      </c>
    </row>
    <row r="227" spans="1:7">
      <c r="A227" s="25" t="str">
        <f t="shared" si="3"/>
        <v>AR0062RAR00060</v>
      </c>
      <c r="B227" s="31">
        <v>7</v>
      </c>
      <c r="C227" s="25" t="s">
        <v>47</v>
      </c>
      <c r="D227" s="25" t="s">
        <v>46</v>
      </c>
      <c r="E227" s="25" t="s">
        <v>1152</v>
      </c>
      <c r="F227" s="32">
        <v>1213342.5</v>
      </c>
      <c r="G227" s="32">
        <v>1213342.5</v>
      </c>
    </row>
    <row r="228" spans="1:7">
      <c r="A228" s="25" t="str">
        <f t="shared" si="3"/>
        <v>AR0066RAR00059</v>
      </c>
      <c r="B228" s="31">
        <v>7</v>
      </c>
      <c r="C228" s="25" t="s">
        <v>56</v>
      </c>
      <c r="D228" s="25" t="s">
        <v>55</v>
      </c>
      <c r="E228" s="25" t="s">
        <v>1153</v>
      </c>
      <c r="F228" s="32">
        <v>634977.99999999988</v>
      </c>
      <c r="G228" s="32">
        <v>634978</v>
      </c>
    </row>
    <row r="229" spans="1:7">
      <c r="A229" s="25" t="str">
        <f t="shared" si="3"/>
        <v>AR0078RAR00058</v>
      </c>
      <c r="B229" s="31">
        <v>7</v>
      </c>
      <c r="C229" s="25" t="s">
        <v>35</v>
      </c>
      <c r="D229" s="25" t="s">
        <v>34</v>
      </c>
      <c r="E229" s="25" t="s">
        <v>1154</v>
      </c>
      <c r="F229" s="32">
        <v>1624485.0000000002</v>
      </c>
      <c r="G229" s="32">
        <v>1624485</v>
      </c>
    </row>
    <row r="230" spans="1:7">
      <c r="A230" s="25" t="str">
        <f t="shared" si="3"/>
        <v>AR0079RAR00043</v>
      </c>
      <c r="B230" s="31">
        <v>7</v>
      </c>
      <c r="C230" s="25" t="s">
        <v>518</v>
      </c>
      <c r="D230" s="25" t="s">
        <v>519</v>
      </c>
      <c r="E230" s="25" t="s">
        <v>1440</v>
      </c>
      <c r="F230" s="32">
        <v>124280.8599999999</v>
      </c>
      <c r="G230" s="32">
        <v>124280.86</v>
      </c>
    </row>
    <row r="231" spans="1:7">
      <c r="A231" s="25" t="str">
        <f t="shared" si="3"/>
        <v>AR0079RAR00044</v>
      </c>
      <c r="B231" s="31">
        <v>7</v>
      </c>
      <c r="C231" s="25" t="s">
        <v>518</v>
      </c>
      <c r="D231" s="25" t="s">
        <v>517</v>
      </c>
      <c r="E231" s="25" t="s">
        <v>1440</v>
      </c>
      <c r="F231" s="32">
        <v>268512.08</v>
      </c>
      <c r="G231" s="32">
        <v>268512.08</v>
      </c>
    </row>
    <row r="232" spans="1:7">
      <c r="A232" s="25" t="str">
        <f t="shared" si="3"/>
        <v>LA0029RLA00102</v>
      </c>
      <c r="B232" s="31">
        <v>7</v>
      </c>
      <c r="C232" s="25" t="s">
        <v>11</v>
      </c>
      <c r="D232" s="25" t="s">
        <v>10</v>
      </c>
      <c r="E232" s="25" t="s">
        <v>1263</v>
      </c>
      <c r="F232" s="32">
        <v>1503357.3900000001</v>
      </c>
      <c r="G232" s="32">
        <v>1503357.39</v>
      </c>
    </row>
    <row r="233" spans="1:7">
      <c r="A233" s="25" t="str">
        <f t="shared" si="3"/>
        <v>NM0050RNM00065</v>
      </c>
      <c r="B233" s="31">
        <v>7</v>
      </c>
      <c r="C233" s="25" t="s">
        <v>1480</v>
      </c>
      <c r="D233" s="25" t="s">
        <v>1476</v>
      </c>
      <c r="E233" s="25" t="s">
        <v>1477</v>
      </c>
      <c r="F233" s="32">
        <v>4.9112713895738125E-11</v>
      </c>
      <c r="G233" s="32">
        <v>0</v>
      </c>
    </row>
    <row r="234" spans="1:7">
      <c r="A234" s="25" t="str">
        <f t="shared" si="3"/>
        <v>NM0502RNM00061</v>
      </c>
      <c r="B234" s="31">
        <v>7</v>
      </c>
      <c r="C234" s="25" t="s">
        <v>1</v>
      </c>
      <c r="D234" s="25" t="s">
        <v>0</v>
      </c>
      <c r="E234" s="25" t="s">
        <v>1315</v>
      </c>
      <c r="F234" s="32">
        <v>2729465.0900000003</v>
      </c>
      <c r="G234" s="32">
        <v>2729465.0900000003</v>
      </c>
    </row>
    <row r="235" spans="1:7">
      <c r="A235" s="25" t="str">
        <f t="shared" si="3"/>
        <v>OK0039ROK00096</v>
      </c>
      <c r="B235" s="31">
        <v>7</v>
      </c>
      <c r="C235" s="25" t="s">
        <v>233</v>
      </c>
      <c r="D235" s="25" t="s">
        <v>696</v>
      </c>
      <c r="E235" s="25" t="s">
        <v>1339</v>
      </c>
      <c r="F235" s="32">
        <v>9243</v>
      </c>
      <c r="G235" s="32">
        <v>9243</v>
      </c>
    </row>
    <row r="236" spans="1:7">
      <c r="A236" s="25" t="str">
        <f t="shared" si="3"/>
        <v>OK0039ROK00091</v>
      </c>
      <c r="B236" s="31">
        <v>7</v>
      </c>
      <c r="C236" s="25" t="s">
        <v>233</v>
      </c>
      <c r="D236" s="25" t="s">
        <v>232</v>
      </c>
      <c r="E236" s="25" t="s">
        <v>1339</v>
      </c>
      <c r="F236" s="32">
        <v>21074</v>
      </c>
      <c r="G236" s="32">
        <v>16840.669999999998</v>
      </c>
    </row>
    <row r="237" spans="1:7">
      <c r="A237" s="25" t="str">
        <f t="shared" si="3"/>
        <v>OK0039ROK00097</v>
      </c>
      <c r="B237" s="31">
        <v>7</v>
      </c>
      <c r="C237" s="25" t="s">
        <v>233</v>
      </c>
      <c r="D237" s="25" t="s">
        <v>235</v>
      </c>
      <c r="E237" s="25" t="s">
        <v>1339</v>
      </c>
      <c r="F237" s="32">
        <v>3650</v>
      </c>
      <c r="G237" s="32">
        <v>3650</v>
      </c>
    </row>
    <row r="238" spans="1:7">
      <c r="A238" s="25" t="str">
        <f t="shared" si="3"/>
        <v>OK0039ROK00093</v>
      </c>
      <c r="B238" s="31">
        <v>7</v>
      </c>
      <c r="C238" s="25" t="s">
        <v>233</v>
      </c>
      <c r="D238" s="25" t="s">
        <v>236</v>
      </c>
      <c r="E238" s="25" t="s">
        <v>1339</v>
      </c>
      <c r="F238" s="32">
        <v>58552</v>
      </c>
      <c r="G238" s="32">
        <v>58552</v>
      </c>
    </row>
    <row r="239" spans="1:7">
      <c r="A239" s="25" t="str">
        <f t="shared" si="3"/>
        <v>TX0012RTX00431</v>
      </c>
      <c r="B239" s="31">
        <v>7</v>
      </c>
      <c r="C239" s="25" t="s">
        <v>665</v>
      </c>
      <c r="D239" s="25" t="s">
        <v>664</v>
      </c>
      <c r="E239" s="25" t="s">
        <v>1441</v>
      </c>
      <c r="F239" s="32">
        <v>43930.329999999994</v>
      </c>
      <c r="G239" s="32">
        <v>43930.33</v>
      </c>
    </row>
    <row r="240" spans="1:7">
      <c r="A240" s="25" t="str">
        <f t="shared" si="3"/>
        <v>TX0012RTX00434</v>
      </c>
      <c r="B240" s="31">
        <v>7</v>
      </c>
      <c r="C240" s="25" t="s">
        <v>665</v>
      </c>
      <c r="D240" s="25" t="s">
        <v>680</v>
      </c>
      <c r="E240" s="25" t="s">
        <v>1441</v>
      </c>
      <c r="F240" s="32">
        <v>383917</v>
      </c>
      <c r="G240" s="32">
        <v>383917</v>
      </c>
    </row>
    <row r="241" spans="1:7">
      <c r="A241" s="25" t="str">
        <f t="shared" si="3"/>
        <v>TX0075RTX00625</v>
      </c>
      <c r="B241" s="31">
        <v>7</v>
      </c>
      <c r="C241" s="25" t="s">
        <v>208</v>
      </c>
      <c r="D241" s="25" t="s">
        <v>616</v>
      </c>
      <c r="E241" s="25" t="s">
        <v>1442</v>
      </c>
      <c r="F241" s="32">
        <v>31343</v>
      </c>
      <c r="G241" s="32">
        <v>5.6843418860808015E-13</v>
      </c>
    </row>
    <row r="242" spans="1:7">
      <c r="A242" s="25" t="str">
        <f t="shared" si="3"/>
        <v>TX0075RTX00586</v>
      </c>
      <c r="B242" s="31">
        <v>7</v>
      </c>
      <c r="C242" s="25" t="s">
        <v>208</v>
      </c>
      <c r="D242" s="25" t="s">
        <v>693</v>
      </c>
      <c r="E242" s="25" t="s">
        <v>1442</v>
      </c>
      <c r="F242" s="32">
        <v>8600</v>
      </c>
      <c r="G242" s="32">
        <v>8600</v>
      </c>
    </row>
    <row r="243" spans="1:7">
      <c r="A243" s="25" t="str">
        <f t="shared" si="3"/>
        <v>TX0075RTX00585</v>
      </c>
      <c r="B243" s="31">
        <v>7</v>
      </c>
      <c r="C243" s="25" t="s">
        <v>208</v>
      </c>
      <c r="D243" s="25" t="s">
        <v>512</v>
      </c>
      <c r="E243" s="25" t="s">
        <v>1442</v>
      </c>
      <c r="F243" s="32">
        <v>83458</v>
      </c>
      <c r="G243" s="32">
        <v>83458.000000000015</v>
      </c>
    </row>
    <row r="244" spans="1:7">
      <c r="A244" s="25" t="str">
        <f t="shared" si="3"/>
        <v>TX0075RTX00584</v>
      </c>
      <c r="B244" s="31">
        <v>7</v>
      </c>
      <c r="C244" s="25" t="s">
        <v>208</v>
      </c>
      <c r="D244" s="25" t="s">
        <v>487</v>
      </c>
      <c r="E244" s="25" t="s">
        <v>1442</v>
      </c>
      <c r="F244" s="32">
        <v>234441</v>
      </c>
      <c r="G244" s="32">
        <v>234441</v>
      </c>
    </row>
    <row r="245" spans="1:7">
      <c r="A245" s="25" t="str">
        <f t="shared" si="3"/>
        <v>TX0075RTX00521</v>
      </c>
      <c r="B245" s="31">
        <v>7</v>
      </c>
      <c r="C245" s="25" t="s">
        <v>208</v>
      </c>
      <c r="D245" s="25" t="s">
        <v>207</v>
      </c>
      <c r="E245" s="25" t="s">
        <v>1442</v>
      </c>
      <c r="F245" s="32">
        <v>1479140.73</v>
      </c>
      <c r="G245" s="32">
        <v>1479140.7299999997</v>
      </c>
    </row>
    <row r="246" spans="1:7">
      <c r="A246" s="25" t="str">
        <f t="shared" si="3"/>
        <v>TX0101RTX00456</v>
      </c>
      <c r="B246" s="31">
        <v>7</v>
      </c>
      <c r="C246" s="25" t="s">
        <v>314</v>
      </c>
      <c r="D246" s="25" t="s">
        <v>318</v>
      </c>
      <c r="E246" s="25" t="s">
        <v>1372</v>
      </c>
      <c r="F246" s="32">
        <v>248877.99999999988</v>
      </c>
      <c r="G246" s="32">
        <v>248878</v>
      </c>
    </row>
    <row r="247" spans="1:7">
      <c r="A247" s="25" t="str">
        <f t="shared" si="3"/>
        <v>TX0101RTX08077</v>
      </c>
      <c r="B247" s="31">
        <v>7</v>
      </c>
      <c r="C247" s="25" t="s">
        <v>314</v>
      </c>
      <c r="D247" s="25" t="s">
        <v>313</v>
      </c>
      <c r="E247" s="25" t="s">
        <v>1372</v>
      </c>
      <c r="F247" s="32">
        <v>1517911</v>
      </c>
      <c r="G247" s="32">
        <v>1517910.9999999998</v>
      </c>
    </row>
    <row r="248" spans="1:7">
      <c r="A248" s="25" t="str">
        <f t="shared" si="3"/>
        <v>TX0116RTX00499</v>
      </c>
      <c r="B248" s="31">
        <v>7</v>
      </c>
      <c r="C248" s="25" t="s">
        <v>244</v>
      </c>
      <c r="D248" s="25" t="s">
        <v>337</v>
      </c>
      <c r="E248" s="25" t="s">
        <v>1373</v>
      </c>
      <c r="F248" s="32">
        <v>222273.00000000006</v>
      </c>
      <c r="G248" s="32">
        <v>222273</v>
      </c>
    </row>
    <row r="249" spans="1:7">
      <c r="A249" s="25" t="str">
        <f t="shared" si="3"/>
        <v>TX0116RTX00498</v>
      </c>
      <c r="B249" s="31">
        <v>7</v>
      </c>
      <c r="C249" s="25" t="s">
        <v>244</v>
      </c>
      <c r="D249" s="25" t="s">
        <v>349</v>
      </c>
      <c r="E249" s="25" t="s">
        <v>1373</v>
      </c>
      <c r="F249" s="32">
        <v>23019.999999999996</v>
      </c>
      <c r="G249" s="32">
        <v>23020</v>
      </c>
    </row>
    <row r="250" spans="1:7">
      <c r="A250" s="25" t="str">
        <f t="shared" si="3"/>
        <v>TX0116RTX00559</v>
      </c>
      <c r="B250" s="31">
        <v>7</v>
      </c>
      <c r="C250" s="25" t="s">
        <v>244</v>
      </c>
      <c r="D250" s="25" t="s">
        <v>643</v>
      </c>
      <c r="E250" s="25" t="s">
        <v>1373</v>
      </c>
      <c r="F250" s="32">
        <v>25100</v>
      </c>
      <c r="G250" s="32">
        <v>25100</v>
      </c>
    </row>
    <row r="251" spans="1:7">
      <c r="A251" s="25" t="str">
        <f t="shared" si="3"/>
        <v>TX0116RTX00558</v>
      </c>
      <c r="B251" s="31">
        <v>7</v>
      </c>
      <c r="C251" s="25" t="s">
        <v>244</v>
      </c>
      <c r="D251" s="25" t="s">
        <v>334</v>
      </c>
      <c r="E251" s="25" t="s">
        <v>1373</v>
      </c>
      <c r="F251" s="32">
        <v>96686</v>
      </c>
      <c r="G251" s="32">
        <v>96685.999999999985</v>
      </c>
    </row>
    <row r="252" spans="1:7">
      <c r="A252" s="25" t="str">
        <f t="shared" si="3"/>
        <v>TX0116RTX00557</v>
      </c>
      <c r="B252" s="31">
        <v>7</v>
      </c>
      <c r="C252" s="25" t="s">
        <v>244</v>
      </c>
      <c r="D252" s="25" t="s">
        <v>243</v>
      </c>
      <c r="E252" s="25" t="s">
        <v>1373</v>
      </c>
      <c r="F252" s="32">
        <v>269732</v>
      </c>
      <c r="G252" s="32">
        <v>265498.66000000003</v>
      </c>
    </row>
    <row r="253" spans="1:7">
      <c r="A253" s="25" t="str">
        <f t="shared" si="3"/>
        <v>TX0247RTX00624</v>
      </c>
      <c r="B253" s="31">
        <v>7</v>
      </c>
      <c r="C253" s="25" t="s">
        <v>563</v>
      </c>
      <c r="D253" s="25" t="s">
        <v>562</v>
      </c>
      <c r="E253" s="25" t="s">
        <v>1374</v>
      </c>
      <c r="F253" s="32">
        <v>31342</v>
      </c>
      <c r="G253" s="32">
        <v>734.99999999999875</v>
      </c>
    </row>
    <row r="254" spans="1:7">
      <c r="A254" s="25" t="str">
        <f t="shared" si="3"/>
        <v>TX0247RTX00583</v>
      </c>
      <c r="B254" s="31">
        <v>7</v>
      </c>
      <c r="C254" s="25" t="s">
        <v>563</v>
      </c>
      <c r="D254" s="25" t="s">
        <v>690</v>
      </c>
      <c r="E254" s="25" t="s">
        <v>1374</v>
      </c>
      <c r="F254" s="32">
        <v>6700</v>
      </c>
      <c r="G254" s="32">
        <v>6700</v>
      </c>
    </row>
    <row r="255" spans="1:7">
      <c r="A255" s="25" t="str">
        <f t="shared" si="3"/>
        <v>TX0247RTX00582</v>
      </c>
      <c r="B255" s="31">
        <v>7</v>
      </c>
      <c r="C255" s="25" t="s">
        <v>563</v>
      </c>
      <c r="D255" s="25" t="s">
        <v>697</v>
      </c>
      <c r="E255" s="25" t="s">
        <v>1374</v>
      </c>
      <c r="F255" s="32">
        <v>76035</v>
      </c>
      <c r="G255" s="32">
        <v>76035</v>
      </c>
    </row>
    <row r="256" spans="1:7">
      <c r="A256" s="25" t="str">
        <f t="shared" si="3"/>
        <v>TX0272RTX00553</v>
      </c>
      <c r="B256" s="31">
        <v>7</v>
      </c>
      <c r="C256" s="25" t="s">
        <v>105</v>
      </c>
      <c r="D256" s="25" t="s">
        <v>332</v>
      </c>
      <c r="E256" s="25" t="s">
        <v>1375</v>
      </c>
      <c r="F256" s="32">
        <v>25800</v>
      </c>
      <c r="G256" s="32">
        <v>25800</v>
      </c>
    </row>
    <row r="257" spans="1:7">
      <c r="A257" s="25" t="str">
        <f t="shared" si="3"/>
        <v>TX0272RTX00556</v>
      </c>
      <c r="B257" s="31">
        <v>7</v>
      </c>
      <c r="C257" s="25" t="s">
        <v>105</v>
      </c>
      <c r="D257" s="25" t="s">
        <v>642</v>
      </c>
      <c r="E257" s="25" t="s">
        <v>1375</v>
      </c>
      <c r="F257" s="32">
        <v>12150</v>
      </c>
      <c r="G257" s="32">
        <v>12150</v>
      </c>
    </row>
    <row r="258" spans="1:7">
      <c r="A258" s="25" t="str">
        <f t="shared" si="3"/>
        <v>TX0272RTX00554</v>
      </c>
      <c r="B258" s="31">
        <v>7</v>
      </c>
      <c r="C258" s="25" t="s">
        <v>105</v>
      </c>
      <c r="D258" s="25" t="s">
        <v>104</v>
      </c>
      <c r="E258" s="25" t="s">
        <v>1375</v>
      </c>
      <c r="F258" s="32">
        <v>376551</v>
      </c>
      <c r="G258" s="32">
        <v>372317.67</v>
      </c>
    </row>
    <row r="259" spans="1:7">
      <c r="A259" s="25" t="str">
        <f t="shared" si="3"/>
        <v>TX0282RTX00564</v>
      </c>
      <c r="B259" s="31">
        <v>7</v>
      </c>
      <c r="C259" s="25" t="s">
        <v>135</v>
      </c>
      <c r="D259" s="25" t="s">
        <v>628</v>
      </c>
      <c r="E259" s="25" t="s">
        <v>1376</v>
      </c>
      <c r="F259" s="32">
        <v>48600</v>
      </c>
      <c r="G259" s="32">
        <v>48600</v>
      </c>
    </row>
    <row r="260" spans="1:7">
      <c r="A260" s="25" t="str">
        <f t="shared" si="3"/>
        <v>TX0282RTX00563</v>
      </c>
      <c r="B260" s="31">
        <v>7</v>
      </c>
      <c r="C260" s="25" t="s">
        <v>135</v>
      </c>
      <c r="D260" s="25" t="s">
        <v>134</v>
      </c>
      <c r="E260" s="25" t="s">
        <v>1376</v>
      </c>
      <c r="F260" s="32">
        <v>327428.00000000006</v>
      </c>
      <c r="G260" s="32">
        <v>327428</v>
      </c>
    </row>
    <row r="261" spans="1:7">
      <c r="A261" s="25" t="str">
        <f t="shared" ref="A261:A324" si="4">LEFT(C261,6)&amp;D261</f>
        <v>TX0282RTX00562</v>
      </c>
      <c r="B261" s="31">
        <v>7</v>
      </c>
      <c r="C261" s="25" t="s">
        <v>135</v>
      </c>
      <c r="D261" s="25" t="s">
        <v>247</v>
      </c>
      <c r="E261" s="25" t="s">
        <v>1376</v>
      </c>
      <c r="F261" s="32">
        <v>331010</v>
      </c>
      <c r="G261" s="32">
        <v>331010</v>
      </c>
    </row>
    <row r="262" spans="1:7">
      <c r="A262" s="25" t="str">
        <f t="shared" si="4"/>
        <v>TX0282RTX00560</v>
      </c>
      <c r="B262" s="31">
        <v>7</v>
      </c>
      <c r="C262" s="25" t="s">
        <v>135</v>
      </c>
      <c r="D262" s="25" t="s">
        <v>245</v>
      </c>
      <c r="E262" s="25" t="s">
        <v>1376</v>
      </c>
      <c r="F262" s="32">
        <v>257350</v>
      </c>
      <c r="G262" s="32">
        <v>257350</v>
      </c>
    </row>
    <row r="263" spans="1:7">
      <c r="A263" s="25" t="str">
        <f t="shared" si="4"/>
        <v>TX0282RTX00561</v>
      </c>
      <c r="B263" s="31">
        <v>7</v>
      </c>
      <c r="C263" s="25" t="s">
        <v>135</v>
      </c>
      <c r="D263" s="25" t="s">
        <v>139</v>
      </c>
      <c r="E263" s="25" t="s">
        <v>1376</v>
      </c>
      <c r="F263" s="32">
        <v>587130</v>
      </c>
      <c r="G263" s="32">
        <v>582896.66999999993</v>
      </c>
    </row>
    <row r="264" spans="1:7">
      <c r="A264" s="25" t="str">
        <f t="shared" si="4"/>
        <v>TX0284RTX00432</v>
      </c>
      <c r="B264" s="31">
        <v>7</v>
      </c>
      <c r="C264" s="25" t="s">
        <v>660</v>
      </c>
      <c r="D264" s="25" t="s">
        <v>661</v>
      </c>
      <c r="E264" s="25" t="s">
        <v>1443</v>
      </c>
      <c r="F264" s="32">
        <v>67243.14</v>
      </c>
      <c r="G264" s="32">
        <v>67243.14</v>
      </c>
    </row>
    <row r="265" spans="1:7">
      <c r="A265" s="25" t="str">
        <f t="shared" si="4"/>
        <v>TX0284RTX00433</v>
      </c>
      <c r="B265" s="31">
        <v>7</v>
      </c>
      <c r="C265" s="25" t="s">
        <v>660</v>
      </c>
      <c r="D265" s="25" t="s">
        <v>662</v>
      </c>
      <c r="E265" s="25" t="s">
        <v>1443</v>
      </c>
      <c r="F265" s="32">
        <v>217046.71999999997</v>
      </c>
      <c r="G265" s="32">
        <v>217046.72000000003</v>
      </c>
    </row>
    <row r="266" spans="1:7">
      <c r="A266" s="25" t="str">
        <f t="shared" si="4"/>
        <v>TX0284RTX00435</v>
      </c>
      <c r="B266" s="31">
        <v>7</v>
      </c>
      <c r="C266" s="25" t="s">
        <v>660</v>
      </c>
      <c r="D266" s="25" t="s">
        <v>659</v>
      </c>
      <c r="E266" s="25" t="s">
        <v>1443</v>
      </c>
      <c r="F266" s="32">
        <v>428074.20999999996</v>
      </c>
      <c r="G266" s="32">
        <v>428074.21</v>
      </c>
    </row>
    <row r="267" spans="1:7">
      <c r="A267" s="25" t="str">
        <f t="shared" si="4"/>
        <v>TX0312RTX00548</v>
      </c>
      <c r="B267" s="31">
        <v>7</v>
      </c>
      <c r="C267" s="25" t="s">
        <v>231</v>
      </c>
      <c r="D267" s="25" t="s">
        <v>239</v>
      </c>
      <c r="E267" s="25" t="s">
        <v>1380</v>
      </c>
      <c r="F267" s="32">
        <v>71768</v>
      </c>
      <c r="G267" s="32">
        <v>71768</v>
      </c>
    </row>
    <row r="268" spans="1:7">
      <c r="A268" s="25" t="str">
        <f t="shared" si="4"/>
        <v>TX0312RTX00549</v>
      </c>
      <c r="B268" s="31">
        <v>7</v>
      </c>
      <c r="C268" s="25" t="s">
        <v>231</v>
      </c>
      <c r="D268" s="25" t="s">
        <v>230</v>
      </c>
      <c r="E268" s="25" t="s">
        <v>1380</v>
      </c>
      <c r="F268" s="32">
        <v>191496.00000000003</v>
      </c>
      <c r="G268" s="32">
        <v>187262.66999999995</v>
      </c>
    </row>
    <row r="269" spans="1:7">
      <c r="A269" s="25" t="str">
        <f t="shared" si="4"/>
        <v>TX0312RTX00552</v>
      </c>
      <c r="B269" s="31">
        <v>7</v>
      </c>
      <c r="C269" s="25" t="s">
        <v>231</v>
      </c>
      <c r="D269" s="25" t="s">
        <v>237</v>
      </c>
      <c r="E269" s="25" t="s">
        <v>1380</v>
      </c>
      <c r="F269" s="32">
        <v>22950</v>
      </c>
      <c r="G269" s="32">
        <v>22950</v>
      </c>
    </row>
    <row r="270" spans="1:7">
      <c r="A270" s="25" t="str">
        <f t="shared" si="4"/>
        <v>TX0312RTX00550</v>
      </c>
      <c r="B270" s="31">
        <v>7</v>
      </c>
      <c r="C270" s="25" t="s">
        <v>231</v>
      </c>
      <c r="D270" s="25" t="s">
        <v>234</v>
      </c>
      <c r="E270" s="25" t="s">
        <v>1380</v>
      </c>
      <c r="F270" s="32">
        <v>134886</v>
      </c>
      <c r="G270" s="32">
        <v>134886</v>
      </c>
    </row>
    <row r="271" spans="1:7">
      <c r="A271" s="25" t="str">
        <f t="shared" si="4"/>
        <v>TX0312RTX00551</v>
      </c>
      <c r="B271" s="31">
        <v>7</v>
      </c>
      <c r="C271" s="25" t="s">
        <v>231</v>
      </c>
      <c r="D271" s="25" t="s">
        <v>238</v>
      </c>
      <c r="E271" s="25" t="s">
        <v>1380</v>
      </c>
      <c r="F271" s="32">
        <v>282776</v>
      </c>
      <c r="G271" s="32">
        <v>282776</v>
      </c>
    </row>
    <row r="272" spans="1:7">
      <c r="A272" s="25" t="str">
        <f t="shared" si="4"/>
        <v>TX0318RTX00581</v>
      </c>
      <c r="B272" s="31">
        <v>7</v>
      </c>
      <c r="C272" s="25" t="s">
        <v>83</v>
      </c>
      <c r="D272" s="25" t="s">
        <v>639</v>
      </c>
      <c r="E272" s="25" t="s">
        <v>1381</v>
      </c>
      <c r="F272" s="32">
        <v>35200</v>
      </c>
      <c r="G272" s="32">
        <v>35200</v>
      </c>
    </row>
    <row r="273" spans="1:7">
      <c r="A273" s="25" t="str">
        <f t="shared" si="4"/>
        <v>TX0318RTX00578</v>
      </c>
      <c r="B273" s="31">
        <v>7</v>
      </c>
      <c r="C273" s="25" t="s">
        <v>83</v>
      </c>
      <c r="D273" s="25" t="s">
        <v>253</v>
      </c>
      <c r="E273" s="25" t="s">
        <v>1381</v>
      </c>
      <c r="F273" s="32">
        <v>46558.97</v>
      </c>
      <c r="G273" s="32">
        <v>42325.64</v>
      </c>
    </row>
    <row r="274" spans="1:7">
      <c r="A274" s="25" t="str">
        <f t="shared" si="4"/>
        <v>TX0318RTX00856</v>
      </c>
      <c r="B274" s="31">
        <v>7</v>
      </c>
      <c r="C274" s="25" t="s">
        <v>83</v>
      </c>
      <c r="D274" s="25" t="s">
        <v>1444</v>
      </c>
      <c r="E274" s="25" t="s">
        <v>1381</v>
      </c>
      <c r="F274" s="32">
        <v>51799.55</v>
      </c>
      <c r="G274" s="32">
        <v>51799.55</v>
      </c>
    </row>
    <row r="275" spans="1:7">
      <c r="A275" s="25" t="str">
        <f t="shared" si="4"/>
        <v>TX0318RTX00579</v>
      </c>
      <c r="B275" s="31">
        <v>7</v>
      </c>
      <c r="C275" s="25" t="s">
        <v>83</v>
      </c>
      <c r="D275" s="25" t="s">
        <v>82</v>
      </c>
      <c r="E275" s="25" t="s">
        <v>1381</v>
      </c>
      <c r="F275" s="32">
        <v>601731</v>
      </c>
      <c r="G275" s="32">
        <v>601731</v>
      </c>
    </row>
    <row r="276" spans="1:7">
      <c r="A276" s="25" t="str">
        <f t="shared" si="4"/>
        <v>TX0318RTX00580</v>
      </c>
      <c r="B276" s="31">
        <v>7</v>
      </c>
      <c r="C276" s="25" t="s">
        <v>83</v>
      </c>
      <c r="D276" s="25" t="s">
        <v>144</v>
      </c>
      <c r="E276" s="25" t="s">
        <v>1381</v>
      </c>
      <c r="F276" s="32">
        <v>659190</v>
      </c>
      <c r="G276" s="32">
        <v>659190</v>
      </c>
    </row>
    <row r="277" spans="1:7">
      <c r="A277" s="25" t="str">
        <f t="shared" si="4"/>
        <v>TX0325RTX00494</v>
      </c>
      <c r="B277" s="31">
        <v>7</v>
      </c>
      <c r="C277" s="25" t="s">
        <v>339</v>
      </c>
      <c r="D277" s="25" t="s">
        <v>344</v>
      </c>
      <c r="E277" s="25" t="s">
        <v>1376</v>
      </c>
      <c r="F277" s="32">
        <v>13429.999999999998</v>
      </c>
      <c r="G277" s="32">
        <v>13430</v>
      </c>
    </row>
    <row r="278" spans="1:7">
      <c r="A278" s="25" t="str">
        <f t="shared" si="4"/>
        <v>TX0325RTX00493</v>
      </c>
      <c r="B278" s="31">
        <v>7</v>
      </c>
      <c r="C278" s="25" t="s">
        <v>339</v>
      </c>
      <c r="D278" s="25" t="s">
        <v>338</v>
      </c>
      <c r="E278" s="25" t="s">
        <v>1376</v>
      </c>
      <c r="F278" s="32">
        <v>438739.99999999983</v>
      </c>
      <c r="G278" s="32">
        <v>438740</v>
      </c>
    </row>
    <row r="279" spans="1:7">
      <c r="A279" s="25" t="str">
        <f t="shared" si="4"/>
        <v>TX0328RTX00496</v>
      </c>
      <c r="B279" s="31">
        <v>7</v>
      </c>
      <c r="C279" s="25" t="s">
        <v>348</v>
      </c>
      <c r="D279" s="25" t="s">
        <v>347</v>
      </c>
      <c r="E279" s="25" t="s">
        <v>1376</v>
      </c>
      <c r="F279" s="32">
        <v>57660.000000000007</v>
      </c>
      <c r="G279" s="32">
        <v>57660</v>
      </c>
    </row>
    <row r="280" spans="1:7">
      <c r="A280" s="25" t="str">
        <f t="shared" si="4"/>
        <v>TX0329RTX00497</v>
      </c>
      <c r="B280" s="31">
        <v>7</v>
      </c>
      <c r="C280" s="25" t="s">
        <v>343</v>
      </c>
      <c r="D280" s="25" t="s">
        <v>342</v>
      </c>
      <c r="E280" s="25" t="s">
        <v>1376</v>
      </c>
      <c r="F280" s="32">
        <v>16475</v>
      </c>
      <c r="G280" s="32">
        <v>16475</v>
      </c>
    </row>
    <row r="281" spans="1:7">
      <c r="A281" s="25" t="str">
        <f t="shared" si="4"/>
        <v>TX0540RTX00577</v>
      </c>
      <c r="B281" s="31">
        <v>7</v>
      </c>
      <c r="C281" s="25" t="s">
        <v>119</v>
      </c>
      <c r="D281" s="25" t="s">
        <v>640</v>
      </c>
      <c r="E281" s="25" t="s">
        <v>1386</v>
      </c>
      <c r="F281" s="32">
        <v>22150</v>
      </c>
      <c r="G281" s="32">
        <v>22150</v>
      </c>
    </row>
    <row r="282" spans="1:7">
      <c r="A282" s="25" t="str">
        <f t="shared" si="4"/>
        <v>TX0540RTX00574</v>
      </c>
      <c r="B282" s="31">
        <v>7</v>
      </c>
      <c r="C282" s="25" t="s">
        <v>119</v>
      </c>
      <c r="D282" s="25" t="s">
        <v>246</v>
      </c>
      <c r="E282" s="25" t="s">
        <v>1386</v>
      </c>
      <c r="F282" s="32">
        <v>152855</v>
      </c>
      <c r="G282" s="32">
        <v>148621.67000000001</v>
      </c>
    </row>
    <row r="283" spans="1:7">
      <c r="A283" s="25" t="str">
        <f t="shared" si="4"/>
        <v>TX0540RTX00575</v>
      </c>
      <c r="B283" s="31">
        <v>7</v>
      </c>
      <c r="C283" s="25" t="s">
        <v>119</v>
      </c>
      <c r="D283" s="25" t="s">
        <v>333</v>
      </c>
      <c r="E283" s="25" t="s">
        <v>1386</v>
      </c>
      <c r="F283" s="32">
        <v>186702.99999999997</v>
      </c>
      <c r="G283" s="32">
        <v>186703</v>
      </c>
    </row>
    <row r="284" spans="1:7">
      <c r="A284" s="25" t="str">
        <f t="shared" si="4"/>
        <v>TX0540RTX00576</v>
      </c>
      <c r="B284" s="31">
        <v>7</v>
      </c>
      <c r="C284" s="25" t="s">
        <v>119</v>
      </c>
      <c r="D284" s="25" t="s">
        <v>118</v>
      </c>
      <c r="E284" s="25" t="s">
        <v>1386</v>
      </c>
      <c r="F284" s="32">
        <v>311428</v>
      </c>
      <c r="G284" s="32">
        <v>311428</v>
      </c>
    </row>
    <row r="285" spans="1:7">
      <c r="A285" s="25" t="str">
        <f t="shared" si="4"/>
        <v>TX0937RTX00502</v>
      </c>
      <c r="B285" s="31">
        <v>7</v>
      </c>
      <c r="C285" s="25" t="s">
        <v>161</v>
      </c>
      <c r="D285" s="25" t="s">
        <v>168</v>
      </c>
      <c r="E285" s="25" t="s">
        <v>1387</v>
      </c>
      <c r="F285" s="32">
        <v>121488.15</v>
      </c>
      <c r="G285" s="32">
        <v>121488.15</v>
      </c>
    </row>
    <row r="286" spans="1:7">
      <c r="A286" s="25" t="str">
        <f t="shared" si="4"/>
        <v>TX0937RTX00503</v>
      </c>
      <c r="B286" s="31">
        <v>7</v>
      </c>
      <c r="C286" s="25" t="s">
        <v>161</v>
      </c>
      <c r="D286" s="25" t="s">
        <v>160</v>
      </c>
      <c r="E286" s="25" t="s">
        <v>1387</v>
      </c>
      <c r="F286" s="32">
        <v>17669.189999999999</v>
      </c>
      <c r="G286" s="32">
        <v>17669.189999999999</v>
      </c>
    </row>
    <row r="287" spans="1:7">
      <c r="A287" s="25" t="str">
        <f t="shared" si="4"/>
        <v>TX0963RTX00506</v>
      </c>
      <c r="B287" s="31">
        <v>7</v>
      </c>
      <c r="C287" s="25" t="s">
        <v>148</v>
      </c>
      <c r="D287" s="25" t="s">
        <v>166</v>
      </c>
      <c r="E287" s="25" t="s">
        <v>1387</v>
      </c>
      <c r="F287" s="32">
        <v>22751.120000000003</v>
      </c>
      <c r="G287" s="32">
        <v>22751.119999999995</v>
      </c>
    </row>
    <row r="288" spans="1:7">
      <c r="A288" s="25" t="str">
        <f t="shared" si="4"/>
        <v>TX0963RTX00505</v>
      </c>
      <c r="B288" s="31">
        <v>7</v>
      </c>
      <c r="C288" s="25" t="s">
        <v>148</v>
      </c>
      <c r="D288" s="25" t="s">
        <v>147</v>
      </c>
      <c r="E288" s="25" t="s">
        <v>1387</v>
      </c>
      <c r="F288" s="32">
        <v>115778.33</v>
      </c>
      <c r="G288" s="32">
        <v>115778.33</v>
      </c>
    </row>
    <row r="289" spans="1:7">
      <c r="A289" s="25" t="str">
        <f t="shared" si="4"/>
        <v>TX0964RTX00507</v>
      </c>
      <c r="B289" s="31">
        <v>7</v>
      </c>
      <c r="C289" s="25" t="s">
        <v>157</v>
      </c>
      <c r="D289" s="25" t="s">
        <v>173</v>
      </c>
      <c r="E289" s="25" t="s">
        <v>1387</v>
      </c>
      <c r="F289" s="32">
        <v>45504.130000000005</v>
      </c>
      <c r="G289" s="32">
        <v>45504.13</v>
      </c>
    </row>
    <row r="290" spans="1:7">
      <c r="A290" s="25" t="str">
        <f t="shared" si="4"/>
        <v>TX0964RTX00508</v>
      </c>
      <c r="B290" s="31">
        <v>7</v>
      </c>
      <c r="C290" s="25" t="s">
        <v>157</v>
      </c>
      <c r="D290" s="25" t="s">
        <v>156</v>
      </c>
      <c r="E290" s="25" t="s">
        <v>1387</v>
      </c>
      <c r="F290" s="32">
        <v>228657.66</v>
      </c>
      <c r="G290" s="32">
        <v>228657.66000000003</v>
      </c>
    </row>
    <row r="291" spans="1:7">
      <c r="A291" s="25" t="str">
        <f t="shared" si="4"/>
        <v>TX0965RTX00509</v>
      </c>
      <c r="B291" s="31">
        <v>7</v>
      </c>
      <c r="C291" s="25" t="s">
        <v>146</v>
      </c>
      <c r="D291" s="25" t="s">
        <v>167</v>
      </c>
      <c r="E291" s="25" t="s">
        <v>1387</v>
      </c>
      <c r="F291" s="32">
        <v>160486.04</v>
      </c>
      <c r="G291" s="32">
        <v>160486.04</v>
      </c>
    </row>
    <row r="292" spans="1:7">
      <c r="A292" s="25" t="str">
        <f t="shared" si="4"/>
        <v>TX0965RTX00510</v>
      </c>
      <c r="B292" s="31">
        <v>7</v>
      </c>
      <c r="C292" s="25" t="s">
        <v>146</v>
      </c>
      <c r="D292" s="25" t="s">
        <v>145</v>
      </c>
      <c r="E292" s="25" t="s">
        <v>1387</v>
      </c>
      <c r="F292" s="32">
        <v>23083.810000000005</v>
      </c>
      <c r="G292" s="32">
        <v>23083.81</v>
      </c>
    </row>
    <row r="293" spans="1:7">
      <c r="A293" s="25" t="str">
        <f t="shared" si="4"/>
        <v>TX0966RTX00512</v>
      </c>
      <c r="B293" s="31">
        <v>7</v>
      </c>
      <c r="C293" s="25" t="s">
        <v>152</v>
      </c>
      <c r="D293" s="25" t="s">
        <v>151</v>
      </c>
      <c r="E293" s="25" t="s">
        <v>1387</v>
      </c>
      <c r="F293" s="32">
        <v>8915.35</v>
      </c>
      <c r="G293" s="32">
        <v>8915.3499999999985</v>
      </c>
    </row>
    <row r="294" spans="1:7">
      <c r="A294" s="25" t="str">
        <f t="shared" si="4"/>
        <v>TX0966RTX00511</v>
      </c>
      <c r="B294" s="31">
        <v>7</v>
      </c>
      <c r="C294" s="25" t="s">
        <v>152</v>
      </c>
      <c r="D294" s="25" t="s">
        <v>162</v>
      </c>
      <c r="E294" s="25" t="s">
        <v>1387</v>
      </c>
      <c r="F294" s="32">
        <v>119347.83</v>
      </c>
      <c r="G294" s="32">
        <v>119347.83</v>
      </c>
    </row>
    <row r="295" spans="1:7">
      <c r="A295" s="25" t="str">
        <f t="shared" si="4"/>
        <v>TX0972RTX00513</v>
      </c>
      <c r="B295" s="31">
        <v>7</v>
      </c>
      <c r="C295" s="25" t="s">
        <v>159</v>
      </c>
      <c r="D295" s="25" t="s">
        <v>165</v>
      </c>
      <c r="E295" s="25" t="s">
        <v>1387</v>
      </c>
      <c r="F295" s="32">
        <v>53629.54</v>
      </c>
      <c r="G295" s="32">
        <v>53629.54</v>
      </c>
    </row>
    <row r="296" spans="1:7">
      <c r="A296" s="25" t="str">
        <f t="shared" si="4"/>
        <v>TX0972RTX00514</v>
      </c>
      <c r="B296" s="31">
        <v>7</v>
      </c>
      <c r="C296" s="25" t="s">
        <v>159</v>
      </c>
      <c r="D296" s="25" t="s">
        <v>158</v>
      </c>
      <c r="E296" s="25" t="s">
        <v>1387</v>
      </c>
      <c r="F296" s="32">
        <v>327671.13</v>
      </c>
      <c r="G296" s="32">
        <v>327671.12999999995</v>
      </c>
    </row>
    <row r="297" spans="1:7">
      <c r="A297" s="25" t="str">
        <f t="shared" si="4"/>
        <v>TX0973RTX00515</v>
      </c>
      <c r="B297" s="31">
        <v>7</v>
      </c>
      <c r="C297" s="25" t="s">
        <v>154</v>
      </c>
      <c r="D297" s="25" t="s">
        <v>153</v>
      </c>
      <c r="E297" s="25" t="s">
        <v>1387</v>
      </c>
      <c r="F297" s="32">
        <v>31261.18</v>
      </c>
      <c r="G297" s="32">
        <v>31261.18</v>
      </c>
    </row>
    <row r="298" spans="1:7">
      <c r="A298" s="25" t="str">
        <f t="shared" si="4"/>
        <v>TX0973RTX00516</v>
      </c>
      <c r="B298" s="31">
        <v>7</v>
      </c>
      <c r="C298" s="25" t="s">
        <v>154</v>
      </c>
      <c r="D298" s="25" t="s">
        <v>155</v>
      </c>
      <c r="E298" s="25" t="s">
        <v>1387</v>
      </c>
      <c r="F298" s="32">
        <v>172244.43</v>
      </c>
      <c r="G298" s="32">
        <v>172244.43</v>
      </c>
    </row>
    <row r="299" spans="1:7">
      <c r="A299" s="25" t="str">
        <f t="shared" si="4"/>
        <v>TX0999RTX00571</v>
      </c>
      <c r="B299" s="31">
        <v>7</v>
      </c>
      <c r="C299" s="25" t="s">
        <v>123</v>
      </c>
      <c r="D299" s="25" t="s">
        <v>252</v>
      </c>
      <c r="E299" s="25" t="s">
        <v>1388</v>
      </c>
      <c r="F299" s="32">
        <v>156707</v>
      </c>
      <c r="G299" s="32">
        <v>152473.67000000001</v>
      </c>
    </row>
    <row r="300" spans="1:7">
      <c r="A300" s="25" t="str">
        <f t="shared" si="4"/>
        <v>TX0999RTX00501</v>
      </c>
      <c r="B300" s="31">
        <v>7</v>
      </c>
      <c r="C300" s="25" t="s">
        <v>123</v>
      </c>
      <c r="D300" s="25" t="s">
        <v>352</v>
      </c>
      <c r="E300" s="25" t="s">
        <v>1388</v>
      </c>
      <c r="F300" s="32">
        <v>11880</v>
      </c>
      <c r="G300" s="32">
        <v>11880</v>
      </c>
    </row>
    <row r="301" spans="1:7">
      <c r="A301" s="25" t="str">
        <f t="shared" si="4"/>
        <v>TX0999RTX00500</v>
      </c>
      <c r="B301" s="31">
        <v>7</v>
      </c>
      <c r="C301" s="25" t="s">
        <v>123</v>
      </c>
      <c r="D301" s="25" t="s">
        <v>345</v>
      </c>
      <c r="E301" s="25" t="s">
        <v>1388</v>
      </c>
      <c r="F301" s="32">
        <v>68390</v>
      </c>
      <c r="G301" s="32">
        <v>68390</v>
      </c>
    </row>
    <row r="302" spans="1:7">
      <c r="A302" s="25" t="str">
        <f t="shared" si="4"/>
        <v>TX0999RTX00573</v>
      </c>
      <c r="B302" s="31">
        <v>7</v>
      </c>
      <c r="C302" s="25" t="s">
        <v>123</v>
      </c>
      <c r="D302" s="25" t="s">
        <v>641</v>
      </c>
      <c r="E302" s="25" t="s">
        <v>1388</v>
      </c>
      <c r="F302" s="32">
        <v>37050</v>
      </c>
      <c r="G302" s="32">
        <v>37050</v>
      </c>
    </row>
    <row r="303" spans="1:7">
      <c r="A303" s="25" t="str">
        <f t="shared" si="4"/>
        <v>TX0999RTX00572</v>
      </c>
      <c r="B303" s="31">
        <v>7</v>
      </c>
      <c r="C303" s="25" t="s">
        <v>123</v>
      </c>
      <c r="D303" s="25" t="s">
        <v>122</v>
      </c>
      <c r="E303" s="25" t="s">
        <v>1388</v>
      </c>
      <c r="F303" s="32">
        <v>607397</v>
      </c>
      <c r="G303" s="32">
        <v>607397</v>
      </c>
    </row>
    <row r="304" spans="1:7">
      <c r="A304" s="25" t="str">
        <f t="shared" si="4"/>
        <v>TX2801RTX00803</v>
      </c>
      <c r="B304" s="31">
        <v>7</v>
      </c>
      <c r="C304" s="25" t="s">
        <v>637</v>
      </c>
      <c r="D304" s="25" t="s">
        <v>636</v>
      </c>
      <c r="E304" s="25" t="s">
        <v>1390</v>
      </c>
      <c r="F304" s="32">
        <v>165086.26</v>
      </c>
      <c r="G304" s="32">
        <v>165086.26</v>
      </c>
    </row>
    <row r="305" spans="1:7">
      <c r="A305" s="25" t="str">
        <f t="shared" si="4"/>
        <v>CO0006VCO00010</v>
      </c>
      <c r="B305" s="31">
        <v>8</v>
      </c>
      <c r="C305" s="25" t="s">
        <v>261</v>
      </c>
      <c r="D305" s="25" t="s">
        <v>260</v>
      </c>
      <c r="E305" s="25" t="s">
        <v>1179</v>
      </c>
      <c r="F305" s="32">
        <v>1420896.0100000002</v>
      </c>
      <c r="G305" s="32">
        <v>1022394.64</v>
      </c>
    </row>
    <row r="306" spans="1:7">
      <c r="A306" s="25" t="str">
        <f t="shared" si="4"/>
        <v>CO0018VCO00041</v>
      </c>
      <c r="B306" s="31">
        <v>8</v>
      </c>
      <c r="C306" s="25" t="s">
        <v>524</v>
      </c>
      <c r="D306" s="25" t="s">
        <v>523</v>
      </c>
      <c r="E306" s="25" t="s">
        <v>1180</v>
      </c>
      <c r="F306" s="32">
        <v>81245.490000000005</v>
      </c>
      <c r="G306" s="32">
        <v>81245.490000000005</v>
      </c>
    </row>
    <row r="307" spans="1:7">
      <c r="A307" s="25" t="str">
        <f t="shared" si="4"/>
        <v>CO0512RCO00265</v>
      </c>
      <c r="B307" s="31">
        <v>8</v>
      </c>
      <c r="C307" s="25" t="s">
        <v>675</v>
      </c>
      <c r="D307" s="25" t="s">
        <v>674</v>
      </c>
      <c r="E307" s="25" t="s">
        <v>1445</v>
      </c>
      <c r="F307" s="32">
        <v>203859</v>
      </c>
      <c r="G307" s="32">
        <v>203859</v>
      </c>
    </row>
    <row r="308" spans="1:7">
      <c r="A308" s="25" t="str">
        <f t="shared" si="4"/>
        <v>CO0514RCO00322</v>
      </c>
      <c r="B308" s="31">
        <v>8</v>
      </c>
      <c r="C308" s="25" t="s">
        <v>125</v>
      </c>
      <c r="D308" s="25" t="s">
        <v>124</v>
      </c>
      <c r="E308" s="25" t="s">
        <v>1446</v>
      </c>
      <c r="F308" s="32">
        <v>1361203.6900000006</v>
      </c>
      <c r="G308" s="32">
        <v>1361203.69</v>
      </c>
    </row>
    <row r="309" spans="1:7">
      <c r="A309" s="25" t="str">
        <f t="shared" si="4"/>
        <v>CO0515RCO00321</v>
      </c>
      <c r="B309" s="31">
        <v>8</v>
      </c>
      <c r="C309" s="25" t="s">
        <v>81</v>
      </c>
      <c r="D309" s="25" t="s">
        <v>80</v>
      </c>
      <c r="E309" s="25" t="s">
        <v>1448</v>
      </c>
      <c r="F309" s="32">
        <v>562601.29999999993</v>
      </c>
      <c r="G309" s="32">
        <v>562601.30000000005</v>
      </c>
    </row>
    <row r="310" spans="1:7">
      <c r="A310" s="25" t="str">
        <f t="shared" si="4"/>
        <v>CO0516RCO00320</v>
      </c>
      <c r="B310" s="31">
        <v>8</v>
      </c>
      <c r="C310" s="25" t="s">
        <v>699</v>
      </c>
      <c r="D310" s="25" t="s">
        <v>698</v>
      </c>
      <c r="E310" s="25" t="s">
        <v>1184</v>
      </c>
      <c r="F310" s="32">
        <v>729819.60000000009</v>
      </c>
      <c r="G310" s="32">
        <v>729819.6</v>
      </c>
    </row>
    <row r="311" spans="1:7">
      <c r="A311" s="25" t="str">
        <f t="shared" si="4"/>
        <v>CO0519RCO00323</v>
      </c>
      <c r="B311" s="31">
        <v>8</v>
      </c>
      <c r="C311" s="25" t="s">
        <v>133</v>
      </c>
      <c r="D311" s="25" t="s">
        <v>132</v>
      </c>
      <c r="E311" s="25" t="s">
        <v>1184</v>
      </c>
      <c r="F311" s="32">
        <v>1583243.3800000001</v>
      </c>
      <c r="G311" s="32">
        <v>1583243.38</v>
      </c>
    </row>
    <row r="312" spans="1:7">
      <c r="A312" s="25" t="str">
        <f t="shared" si="4"/>
        <v>CO0527RCO00310</v>
      </c>
      <c r="B312" s="31">
        <v>8</v>
      </c>
      <c r="C312" s="25" t="s">
        <v>107</v>
      </c>
      <c r="D312" s="25" t="s">
        <v>106</v>
      </c>
      <c r="E312" s="25" t="s">
        <v>1448</v>
      </c>
      <c r="F312" s="32">
        <v>1854415.73</v>
      </c>
      <c r="G312" s="32">
        <v>1854415.73</v>
      </c>
    </row>
    <row r="313" spans="1:7">
      <c r="A313" s="25" t="str">
        <f t="shared" si="4"/>
        <v>CO0531RCO00326</v>
      </c>
      <c r="B313" s="31">
        <v>8</v>
      </c>
      <c r="C313" s="25" t="s">
        <v>137</v>
      </c>
      <c r="D313" s="25" t="s">
        <v>136</v>
      </c>
      <c r="E313" s="25" t="s">
        <v>1184</v>
      </c>
      <c r="F313" s="32">
        <v>506399.42000000016</v>
      </c>
      <c r="G313" s="32">
        <v>506399.42</v>
      </c>
    </row>
    <row r="314" spans="1:7">
      <c r="A314" s="25" t="str">
        <f t="shared" si="4"/>
        <v>CO0532RCO00311</v>
      </c>
      <c r="B314" s="31">
        <v>8</v>
      </c>
      <c r="C314" s="25" t="s">
        <v>141</v>
      </c>
      <c r="D314" s="25" t="s">
        <v>140</v>
      </c>
      <c r="E314" s="25" t="s">
        <v>1449</v>
      </c>
      <c r="F314" s="32">
        <v>400035.49999999994</v>
      </c>
      <c r="G314" s="32">
        <v>400035.5</v>
      </c>
    </row>
    <row r="315" spans="1:7">
      <c r="A315" s="25" t="str">
        <f t="shared" si="4"/>
        <v>CO0533RCO00264</v>
      </c>
      <c r="B315" s="31">
        <v>8</v>
      </c>
      <c r="C315" s="25" t="s">
        <v>100</v>
      </c>
      <c r="D315" s="25" t="s">
        <v>99</v>
      </c>
      <c r="E315" s="25" t="s">
        <v>1445</v>
      </c>
      <c r="F315" s="32">
        <v>1247644.27</v>
      </c>
      <c r="G315" s="32">
        <v>1247644.27</v>
      </c>
    </row>
    <row r="316" spans="1:7">
      <c r="A316" s="25" t="str">
        <f t="shared" si="4"/>
        <v>CO0576RCO00263</v>
      </c>
      <c r="B316" s="31">
        <v>8</v>
      </c>
      <c r="C316" s="25" t="s">
        <v>677</v>
      </c>
      <c r="D316" s="25" t="s">
        <v>676</v>
      </c>
      <c r="E316" s="25" t="s">
        <v>1445</v>
      </c>
      <c r="F316" s="32">
        <v>286062</v>
      </c>
      <c r="G316" s="32">
        <v>286062</v>
      </c>
    </row>
    <row r="317" spans="1:7">
      <c r="A317" s="25" t="str">
        <f t="shared" si="4"/>
        <v>CO0624RCO00313</v>
      </c>
      <c r="B317" s="31">
        <v>8</v>
      </c>
      <c r="C317" s="25" t="s">
        <v>143</v>
      </c>
      <c r="D317" s="25" t="s">
        <v>142</v>
      </c>
      <c r="E317" s="25" t="s">
        <v>1191</v>
      </c>
      <c r="F317" s="32">
        <v>2226853.5299999993</v>
      </c>
      <c r="G317" s="32">
        <v>2226853.5300000003</v>
      </c>
    </row>
    <row r="318" spans="1:7">
      <c r="A318" s="25" t="str">
        <f t="shared" si="4"/>
        <v>CO0625RCO00266</v>
      </c>
      <c r="B318" s="31">
        <v>8</v>
      </c>
      <c r="C318" s="25" t="s">
        <v>679</v>
      </c>
      <c r="D318" s="25" t="s">
        <v>678</v>
      </c>
      <c r="E318" s="25" t="s">
        <v>1445</v>
      </c>
      <c r="F318" s="32">
        <v>248029</v>
      </c>
      <c r="G318" s="32">
        <v>248029</v>
      </c>
    </row>
    <row r="319" spans="1:7">
      <c r="A319" s="25" t="str">
        <f t="shared" si="4"/>
        <v>CO0651RCO00312</v>
      </c>
      <c r="B319" s="31">
        <v>8</v>
      </c>
      <c r="C319" s="25" t="s">
        <v>480</v>
      </c>
      <c r="D319" s="25" t="s">
        <v>479</v>
      </c>
      <c r="E319" s="25" t="s">
        <v>1448</v>
      </c>
      <c r="F319" s="32">
        <v>92968.56</v>
      </c>
      <c r="G319" s="32">
        <v>92968.56</v>
      </c>
    </row>
    <row r="320" spans="1:7">
      <c r="A320" s="25" t="str">
        <f t="shared" si="4"/>
        <v>CO0654RCO00324</v>
      </c>
      <c r="B320" s="31">
        <v>8</v>
      </c>
      <c r="C320" s="25" t="s">
        <v>102</v>
      </c>
      <c r="D320" s="25" t="s">
        <v>101</v>
      </c>
      <c r="E320" s="25" t="s">
        <v>1449</v>
      </c>
      <c r="F320" s="32">
        <v>1011546.2599999998</v>
      </c>
      <c r="G320" s="32">
        <v>1011546.2599999999</v>
      </c>
    </row>
    <row r="321" spans="1:7">
      <c r="A321" s="25" t="str">
        <f t="shared" si="4"/>
        <v>CO0657RCO00325</v>
      </c>
      <c r="B321" s="31">
        <v>8</v>
      </c>
      <c r="C321" s="25" t="s">
        <v>93</v>
      </c>
      <c r="D321" s="25" t="s">
        <v>92</v>
      </c>
      <c r="E321" s="25" t="s">
        <v>1449</v>
      </c>
      <c r="F321" s="32">
        <v>322613.74000000011</v>
      </c>
      <c r="G321" s="32">
        <v>322613.74</v>
      </c>
    </row>
    <row r="322" spans="1:7">
      <c r="A322" s="25" t="str">
        <f t="shared" si="4"/>
        <v>ND0545RND00056</v>
      </c>
      <c r="B322" s="31">
        <v>8</v>
      </c>
      <c r="C322" s="25" t="s">
        <v>695</v>
      </c>
      <c r="D322" s="25" t="s">
        <v>694</v>
      </c>
      <c r="E322" s="25" t="s">
        <v>1306</v>
      </c>
      <c r="F322" s="32">
        <v>12158.520000000019</v>
      </c>
      <c r="G322" s="32">
        <v>12158.52</v>
      </c>
    </row>
    <row r="323" spans="1:7">
      <c r="A323" s="25" t="str">
        <f t="shared" si="4"/>
        <v>SD0040RSD00033</v>
      </c>
      <c r="B323" s="31">
        <v>8</v>
      </c>
      <c r="C323" s="25" t="s">
        <v>433</v>
      </c>
      <c r="D323" s="25" t="s">
        <v>432</v>
      </c>
      <c r="E323" s="25" t="s">
        <v>1364</v>
      </c>
      <c r="F323" s="32">
        <v>691756.23999999976</v>
      </c>
      <c r="G323" s="32">
        <v>691756.24000000011</v>
      </c>
    </row>
    <row r="324" spans="1:7">
      <c r="A324" s="25" t="str">
        <f t="shared" si="4"/>
        <v>AZ0015RAZ00094</v>
      </c>
      <c r="B324" s="31">
        <v>9</v>
      </c>
      <c r="C324" s="25" t="s">
        <v>545</v>
      </c>
      <c r="D324" s="25" t="s">
        <v>544</v>
      </c>
      <c r="E324" s="25" t="s">
        <v>1158</v>
      </c>
      <c r="F324" s="32">
        <v>1000</v>
      </c>
      <c r="G324" s="32">
        <v>1000</v>
      </c>
    </row>
    <row r="325" spans="1:7">
      <c r="A325" s="25" t="str">
        <f t="shared" ref="A325:A388" si="5">LEFT(C325,6)&amp;D325</f>
        <v>AZ0052RAZ00056</v>
      </c>
      <c r="B325" s="31">
        <v>9</v>
      </c>
      <c r="C325" s="25" t="s">
        <v>657</v>
      </c>
      <c r="D325" s="25" t="s">
        <v>656</v>
      </c>
      <c r="E325" s="25" t="s">
        <v>1159</v>
      </c>
      <c r="F325" s="32">
        <v>7983.58</v>
      </c>
      <c r="G325" s="32">
        <v>7983.58</v>
      </c>
    </row>
    <row r="326" spans="1:7">
      <c r="A326" s="25" t="str">
        <f t="shared" si="5"/>
        <v>AZ0058RAZ00095</v>
      </c>
      <c r="B326" s="31">
        <v>9</v>
      </c>
      <c r="C326" s="25" t="s">
        <v>600</v>
      </c>
      <c r="D326" s="25" t="s">
        <v>599</v>
      </c>
      <c r="E326" s="25" t="s">
        <v>1160</v>
      </c>
      <c r="F326" s="32">
        <v>1000</v>
      </c>
      <c r="G326" s="32">
        <v>1000</v>
      </c>
    </row>
    <row r="327" spans="1:7">
      <c r="A327" s="25" t="str">
        <f t="shared" si="5"/>
        <v>AZ0307RAZ00096</v>
      </c>
      <c r="B327" s="31">
        <v>9</v>
      </c>
      <c r="C327" s="25" t="s">
        <v>602</v>
      </c>
      <c r="D327" s="25" t="s">
        <v>601</v>
      </c>
      <c r="E327" s="25" t="s">
        <v>1162</v>
      </c>
      <c r="F327" s="32">
        <v>3200</v>
      </c>
      <c r="G327" s="32">
        <v>3200</v>
      </c>
    </row>
    <row r="328" spans="1:7">
      <c r="A328" s="25" t="str">
        <f t="shared" si="5"/>
        <v>CA0088RCA00658</v>
      </c>
      <c r="B328" s="31">
        <v>9</v>
      </c>
      <c r="C328" s="25" t="s">
        <v>87</v>
      </c>
      <c r="D328" s="25" t="s">
        <v>86</v>
      </c>
      <c r="E328" s="25" t="s">
        <v>1165</v>
      </c>
      <c r="F328" s="32">
        <v>1181.1199999999999</v>
      </c>
      <c r="G328" s="32">
        <v>1181.1199999999999</v>
      </c>
    </row>
    <row r="329" spans="1:7">
      <c r="A329" s="25" t="str">
        <f t="shared" si="5"/>
        <v>CA0096RCA00642</v>
      </c>
      <c r="B329" s="31">
        <v>9</v>
      </c>
      <c r="C329" s="25" t="s">
        <v>217</v>
      </c>
      <c r="D329" s="25" t="s">
        <v>216</v>
      </c>
      <c r="E329" s="25" t="s">
        <v>1167</v>
      </c>
      <c r="F329" s="32">
        <v>937043.06</v>
      </c>
      <c r="G329" s="32">
        <v>937043.05999999994</v>
      </c>
    </row>
    <row r="330" spans="1:7">
      <c r="A330" s="25" t="str">
        <f t="shared" si="5"/>
        <v>CA0096RCA00860</v>
      </c>
      <c r="B330" s="31">
        <v>9</v>
      </c>
      <c r="C330" s="25" t="s">
        <v>217</v>
      </c>
      <c r="D330" s="25" t="s">
        <v>1453</v>
      </c>
      <c r="E330" s="25" t="s">
        <v>1168</v>
      </c>
      <c r="F330" s="32">
        <v>205431</v>
      </c>
      <c r="G330" s="32">
        <v>198878.65</v>
      </c>
    </row>
    <row r="331" spans="1:7">
      <c r="A331" s="25" t="str">
        <f t="shared" si="5"/>
        <v>CA0096RCA00660</v>
      </c>
      <c r="B331" s="31">
        <v>9</v>
      </c>
      <c r="C331" s="25" t="s">
        <v>217</v>
      </c>
      <c r="D331" s="25" t="s">
        <v>598</v>
      </c>
      <c r="E331" s="25" t="s">
        <v>1168</v>
      </c>
      <c r="F331" s="32">
        <v>1500</v>
      </c>
      <c r="G331" s="32">
        <v>1500</v>
      </c>
    </row>
    <row r="332" spans="1:7">
      <c r="A332" s="25" t="str">
        <f t="shared" si="5"/>
        <v>CA0149RCA00653</v>
      </c>
      <c r="B332" s="31">
        <v>9</v>
      </c>
      <c r="C332" s="25" t="s">
        <v>41</v>
      </c>
      <c r="D332" s="25" t="s">
        <v>40</v>
      </c>
      <c r="E332" s="25" t="s">
        <v>1169</v>
      </c>
      <c r="F332" s="32">
        <v>38939.879999999997</v>
      </c>
      <c r="G332" s="32">
        <v>38939.880000000005</v>
      </c>
    </row>
    <row r="333" spans="1:7">
      <c r="A333" s="25" t="str">
        <f t="shared" si="5"/>
        <v>CA0168RCA00522</v>
      </c>
      <c r="B333" s="31">
        <v>9</v>
      </c>
      <c r="C333" s="25" t="s">
        <v>561</v>
      </c>
      <c r="D333" s="25" t="s">
        <v>684</v>
      </c>
      <c r="E333" s="25" t="s">
        <v>1457</v>
      </c>
      <c r="F333" s="32">
        <v>25150</v>
      </c>
      <c r="G333" s="32">
        <v>25150</v>
      </c>
    </row>
    <row r="334" spans="1:7">
      <c r="A334" s="25" t="str">
        <f t="shared" si="5"/>
        <v>CA0168RCA00521</v>
      </c>
      <c r="B334" s="31">
        <v>9</v>
      </c>
      <c r="C334" s="25" t="s">
        <v>561</v>
      </c>
      <c r="D334" s="25" t="s">
        <v>682</v>
      </c>
      <c r="E334" s="25" t="s">
        <v>1456</v>
      </c>
      <c r="F334" s="32">
        <v>25261</v>
      </c>
      <c r="G334" s="32">
        <v>25261</v>
      </c>
    </row>
    <row r="335" spans="1:7">
      <c r="A335" s="25" t="str">
        <f t="shared" si="5"/>
        <v>CA0168RCA00520</v>
      </c>
      <c r="B335" s="31">
        <v>9</v>
      </c>
      <c r="C335" s="25" t="s">
        <v>561</v>
      </c>
      <c r="D335" s="25" t="s">
        <v>683</v>
      </c>
      <c r="E335" s="25" t="s">
        <v>1455</v>
      </c>
      <c r="F335" s="32">
        <v>15146</v>
      </c>
      <c r="G335" s="32">
        <v>15146</v>
      </c>
    </row>
    <row r="336" spans="1:7">
      <c r="A336" s="25" t="str">
        <f t="shared" si="5"/>
        <v>CA0168RCA00524</v>
      </c>
      <c r="B336" s="31">
        <v>9</v>
      </c>
      <c r="C336" s="25" t="s">
        <v>561</v>
      </c>
      <c r="D336" s="25" t="s">
        <v>663</v>
      </c>
      <c r="E336" s="25" t="s">
        <v>1459</v>
      </c>
      <c r="F336" s="32">
        <v>72807.649999999994</v>
      </c>
      <c r="G336" s="32">
        <v>72807.649999999994</v>
      </c>
    </row>
    <row r="337" spans="1:7">
      <c r="A337" s="25" t="str">
        <f t="shared" si="5"/>
        <v>CA0168RCA00523</v>
      </c>
      <c r="B337" s="31">
        <v>9</v>
      </c>
      <c r="C337" s="25" t="s">
        <v>561</v>
      </c>
      <c r="D337" s="25" t="s">
        <v>658</v>
      </c>
      <c r="E337" s="25" t="s">
        <v>1458</v>
      </c>
      <c r="F337" s="32">
        <v>48370</v>
      </c>
      <c r="G337" s="32">
        <v>48370</v>
      </c>
    </row>
    <row r="338" spans="1:7">
      <c r="A338" s="25" t="str">
        <f t="shared" si="5"/>
        <v>CA0168RCA00656</v>
      </c>
      <c r="B338" s="31">
        <v>9</v>
      </c>
      <c r="C338" s="25" t="s">
        <v>561</v>
      </c>
      <c r="D338" s="25" t="s">
        <v>560</v>
      </c>
      <c r="E338" s="25" t="s">
        <v>1454</v>
      </c>
      <c r="F338" s="32">
        <v>2860</v>
      </c>
      <c r="G338" s="32">
        <v>2860</v>
      </c>
    </row>
    <row r="339" spans="1:7">
      <c r="A339" s="25" t="str">
        <f t="shared" si="5"/>
        <v>CA0168RCA00519</v>
      </c>
      <c r="B339" s="31">
        <v>9</v>
      </c>
      <c r="C339" s="25" t="s">
        <v>561</v>
      </c>
      <c r="D339" s="25" t="s">
        <v>681</v>
      </c>
      <c r="E339" s="25" t="s">
        <v>1454</v>
      </c>
      <c r="F339" s="32">
        <v>15146</v>
      </c>
      <c r="G339" s="32">
        <v>15146</v>
      </c>
    </row>
    <row r="340" spans="1:7">
      <c r="A340" s="25" t="str">
        <f t="shared" si="5"/>
        <v>CA0260RCA00661</v>
      </c>
      <c r="B340" s="31">
        <v>9</v>
      </c>
      <c r="C340" s="25" t="s">
        <v>515</v>
      </c>
      <c r="D340" s="25" t="s">
        <v>514</v>
      </c>
      <c r="E340" s="25" t="s">
        <v>1173</v>
      </c>
      <c r="F340" s="32">
        <v>13825</v>
      </c>
      <c r="G340" s="32">
        <v>13825</v>
      </c>
    </row>
    <row r="341" spans="1:7">
      <c r="A341" s="25" t="str">
        <f t="shared" si="5"/>
        <v>CA0269RCA00655</v>
      </c>
      <c r="B341" s="31">
        <v>9</v>
      </c>
      <c r="C341" s="25" t="s">
        <v>400</v>
      </c>
      <c r="D341" s="25" t="s">
        <v>399</v>
      </c>
      <c r="E341" s="25" t="s">
        <v>1174</v>
      </c>
      <c r="F341" s="32">
        <v>32574.999999999996</v>
      </c>
      <c r="G341" s="32">
        <v>32575</v>
      </c>
    </row>
    <row r="342" spans="1:7">
      <c r="A342" s="25" t="str">
        <f t="shared" si="5"/>
        <v>CA0510RCA00526</v>
      </c>
      <c r="B342" s="31">
        <v>9</v>
      </c>
      <c r="C342" s="25" t="s">
        <v>511</v>
      </c>
      <c r="D342" s="25" t="s">
        <v>510</v>
      </c>
      <c r="E342" s="25" t="s">
        <v>1176</v>
      </c>
      <c r="F342" s="32">
        <v>1870214.0099999998</v>
      </c>
      <c r="G342" s="32">
        <v>1870214.01</v>
      </c>
    </row>
    <row r="343" spans="1:7">
      <c r="A343" s="25" t="str">
        <f t="shared" si="5"/>
        <v>CA0588RCA00654</v>
      </c>
      <c r="B343" s="31">
        <v>9</v>
      </c>
      <c r="C343" s="25" t="s">
        <v>551</v>
      </c>
      <c r="D343" s="25" t="s">
        <v>550</v>
      </c>
      <c r="E343" s="25" t="s">
        <v>1177</v>
      </c>
      <c r="F343" s="32">
        <v>30504.309999999998</v>
      </c>
      <c r="G343" s="32">
        <v>27674.31</v>
      </c>
    </row>
    <row r="344" spans="1:7">
      <c r="A344" s="25" t="str">
        <f t="shared" si="5"/>
        <v>CA0761RCA00652</v>
      </c>
      <c r="B344" s="31">
        <v>9</v>
      </c>
      <c r="C344" s="25" t="s">
        <v>424</v>
      </c>
      <c r="D344" s="25" t="s">
        <v>423</v>
      </c>
      <c r="E344" s="25" t="s">
        <v>1178</v>
      </c>
      <c r="F344" s="32">
        <v>3240</v>
      </c>
      <c r="G344" s="32">
        <v>3240</v>
      </c>
    </row>
    <row r="345" spans="1:7">
      <c r="A345" s="25" t="str">
        <f t="shared" si="5"/>
        <v>HI0011VHI00006</v>
      </c>
      <c r="B345" s="31">
        <v>9</v>
      </c>
      <c r="C345" s="25" t="s">
        <v>21</v>
      </c>
      <c r="D345" s="25" t="s">
        <v>20</v>
      </c>
      <c r="E345" s="25" t="s">
        <v>1233</v>
      </c>
      <c r="F345" s="32">
        <v>2040133.66</v>
      </c>
      <c r="G345" s="32">
        <v>1940858.93</v>
      </c>
    </row>
    <row r="346" spans="1:7">
      <c r="A346" s="25" t="str">
        <f t="shared" si="5"/>
        <v>NV0012RNV00063</v>
      </c>
      <c r="B346" s="31">
        <v>9</v>
      </c>
      <c r="C346" s="25" t="s">
        <v>620</v>
      </c>
      <c r="D346" s="25" t="s">
        <v>619</v>
      </c>
      <c r="E346" s="25" t="s">
        <v>1316</v>
      </c>
      <c r="F346" s="32">
        <v>11160</v>
      </c>
      <c r="G346" s="32">
        <v>11160</v>
      </c>
    </row>
    <row r="347" spans="1:7">
      <c r="A347" s="25" t="str">
        <f t="shared" si="5"/>
        <v>NV0013RNV00088</v>
      </c>
      <c r="B347" s="31">
        <v>9</v>
      </c>
      <c r="C347" s="25" t="s">
        <v>532</v>
      </c>
      <c r="D347" s="25" t="s">
        <v>635</v>
      </c>
      <c r="E347" s="25" t="s">
        <v>1460</v>
      </c>
      <c r="F347" s="32">
        <v>124484.10999999999</v>
      </c>
      <c r="G347" s="32">
        <v>124484.11</v>
      </c>
    </row>
    <row r="348" spans="1:7">
      <c r="A348" s="25" t="str">
        <f t="shared" si="5"/>
        <v>NV0013RNV00078</v>
      </c>
      <c r="B348" s="31">
        <v>9</v>
      </c>
      <c r="C348" s="25" t="s">
        <v>532</v>
      </c>
      <c r="D348" s="25" t="s">
        <v>533</v>
      </c>
      <c r="E348" s="25" t="s">
        <v>1460</v>
      </c>
      <c r="F348" s="32">
        <v>998300.69</v>
      </c>
      <c r="G348" s="32">
        <v>998300.69</v>
      </c>
    </row>
    <row r="349" spans="1:7">
      <c r="A349" s="25" t="str">
        <f t="shared" si="5"/>
        <v>NV0013RNV00074</v>
      </c>
      <c r="B349" s="31">
        <v>9</v>
      </c>
      <c r="C349" s="25" t="s">
        <v>532</v>
      </c>
      <c r="D349" s="25" t="s">
        <v>534</v>
      </c>
      <c r="E349" s="25" t="s">
        <v>1460</v>
      </c>
      <c r="F349" s="32">
        <v>98973.88</v>
      </c>
      <c r="G349" s="32">
        <v>98973.88</v>
      </c>
    </row>
    <row r="350" spans="1:7">
      <c r="A350" s="25" t="str">
        <f t="shared" si="5"/>
        <v>NV0013RNV00085</v>
      </c>
      <c r="B350" s="31">
        <v>9</v>
      </c>
      <c r="C350" s="25" t="s">
        <v>532</v>
      </c>
      <c r="D350" s="25" t="s">
        <v>633</v>
      </c>
      <c r="E350" s="25" t="s">
        <v>1460</v>
      </c>
      <c r="F350" s="32">
        <v>27829.82</v>
      </c>
      <c r="G350" s="32">
        <v>27829.82</v>
      </c>
    </row>
    <row r="351" spans="1:7">
      <c r="A351" s="25" t="str">
        <f t="shared" si="5"/>
        <v>NV0013RNV00076</v>
      </c>
      <c r="B351" s="31">
        <v>9</v>
      </c>
      <c r="C351" s="25" t="s">
        <v>532</v>
      </c>
      <c r="D351" s="25" t="s">
        <v>531</v>
      </c>
      <c r="E351" s="25" t="s">
        <v>1460</v>
      </c>
      <c r="F351" s="32">
        <v>186341.14999999994</v>
      </c>
      <c r="G351" s="32">
        <v>186341.15000000002</v>
      </c>
    </row>
    <row r="352" spans="1:7">
      <c r="A352" s="25" t="str">
        <f t="shared" si="5"/>
        <v>NV0013RNV00081</v>
      </c>
      <c r="B352" s="31">
        <v>9</v>
      </c>
      <c r="C352" s="25" t="s">
        <v>532</v>
      </c>
      <c r="D352" s="25" t="s">
        <v>624</v>
      </c>
      <c r="E352" s="25" t="s">
        <v>1460</v>
      </c>
      <c r="F352" s="32">
        <v>68306.3</v>
      </c>
      <c r="G352" s="32">
        <v>68306.299999999988</v>
      </c>
    </row>
    <row r="353" spans="1:7">
      <c r="A353" s="25" t="str">
        <f t="shared" si="5"/>
        <v>NV0013RNV00086</v>
      </c>
      <c r="B353" s="31">
        <v>9</v>
      </c>
      <c r="C353" s="25" t="s">
        <v>532</v>
      </c>
      <c r="D353" s="25" t="s">
        <v>634</v>
      </c>
      <c r="E353" s="25" t="s">
        <v>1460</v>
      </c>
      <c r="F353" s="32">
        <v>171435.45</v>
      </c>
      <c r="G353" s="32">
        <v>171435.45</v>
      </c>
    </row>
    <row r="354" spans="1:7">
      <c r="A354" s="25" t="str">
        <f t="shared" si="5"/>
        <v>NV0014RNV00065</v>
      </c>
      <c r="B354" s="31">
        <v>9</v>
      </c>
      <c r="C354" s="25" t="s">
        <v>303</v>
      </c>
      <c r="D354" s="25" t="s">
        <v>609</v>
      </c>
      <c r="E354" s="25" t="s">
        <v>1329</v>
      </c>
      <c r="F354" s="32">
        <v>9435</v>
      </c>
      <c r="G354" s="32">
        <v>9435</v>
      </c>
    </row>
    <row r="355" spans="1:7">
      <c r="A355" s="25" t="str">
        <f t="shared" si="5"/>
        <v>NV0014RNV00054</v>
      </c>
      <c r="B355" s="31">
        <v>9</v>
      </c>
      <c r="C355" s="25" t="s">
        <v>303</v>
      </c>
      <c r="D355" s="25" t="s">
        <v>538</v>
      </c>
      <c r="E355" s="25" t="s">
        <v>1329</v>
      </c>
      <c r="F355" s="32">
        <v>58372.37000000001</v>
      </c>
      <c r="G355" s="32">
        <v>58372.369999999995</v>
      </c>
    </row>
    <row r="356" spans="1:7">
      <c r="A356" s="25" t="str">
        <f t="shared" si="5"/>
        <v>NV0014RNV00057</v>
      </c>
      <c r="B356" s="31">
        <v>9</v>
      </c>
      <c r="C356" s="25" t="s">
        <v>303</v>
      </c>
      <c r="D356" s="25" t="s">
        <v>309</v>
      </c>
      <c r="E356" s="25" t="s">
        <v>1329</v>
      </c>
      <c r="F356" s="32">
        <v>37077.370000000003</v>
      </c>
      <c r="G356" s="32">
        <v>37077.370000000003</v>
      </c>
    </row>
    <row r="357" spans="1:7">
      <c r="A357" s="25" t="str">
        <f t="shared" si="5"/>
        <v>NV0014RNV00053</v>
      </c>
      <c r="B357" s="31">
        <v>9</v>
      </c>
      <c r="C357" s="25" t="s">
        <v>303</v>
      </c>
      <c r="D357" s="25" t="s">
        <v>317</v>
      </c>
      <c r="E357" s="25" t="s">
        <v>1329</v>
      </c>
      <c r="F357" s="32">
        <v>108656.35</v>
      </c>
      <c r="G357" s="32">
        <v>108656.35</v>
      </c>
    </row>
    <row r="358" spans="1:7">
      <c r="A358" s="25" t="str">
        <f t="shared" si="5"/>
        <v>NV0014RNV00058</v>
      </c>
      <c r="B358" s="31">
        <v>9</v>
      </c>
      <c r="C358" s="25" t="s">
        <v>303</v>
      </c>
      <c r="D358" s="25" t="s">
        <v>312</v>
      </c>
      <c r="E358" s="25" t="s">
        <v>1329</v>
      </c>
      <c r="F358" s="32">
        <v>140267.37000000005</v>
      </c>
      <c r="G358" s="32">
        <v>140267.37</v>
      </c>
    </row>
    <row r="359" spans="1:7">
      <c r="A359" s="25" t="str">
        <f t="shared" si="5"/>
        <v>NV0014RNV00059</v>
      </c>
      <c r="B359" s="31">
        <v>9</v>
      </c>
      <c r="C359" s="25" t="s">
        <v>303</v>
      </c>
      <c r="D359" s="25" t="s">
        <v>302</v>
      </c>
      <c r="E359" s="25" t="s">
        <v>1329</v>
      </c>
      <c r="F359" s="32">
        <v>686760.3899999999</v>
      </c>
      <c r="G359" s="32">
        <v>686760.3899999999</v>
      </c>
    </row>
    <row r="360" spans="1:7">
      <c r="A360" s="25" t="str">
        <f t="shared" si="5"/>
        <v>NV0014RNV00055</v>
      </c>
      <c r="B360" s="31">
        <v>9</v>
      </c>
      <c r="C360" s="25" t="s">
        <v>303</v>
      </c>
      <c r="D360" s="25" t="s">
        <v>308</v>
      </c>
      <c r="E360" s="25" t="s">
        <v>1329</v>
      </c>
      <c r="F360" s="32">
        <v>750722.64999999991</v>
      </c>
      <c r="G360" s="32">
        <v>750722.64999999991</v>
      </c>
    </row>
    <row r="361" spans="1:7">
      <c r="A361" s="25" t="str">
        <f t="shared" si="5"/>
        <v>NV0294RNV00049</v>
      </c>
      <c r="B361" s="31">
        <v>9</v>
      </c>
      <c r="C361" s="25" t="s">
        <v>9</v>
      </c>
      <c r="D361" s="25" t="s">
        <v>8</v>
      </c>
      <c r="E361" s="25" t="s">
        <v>1461</v>
      </c>
      <c r="F361" s="32">
        <v>859589.01000000013</v>
      </c>
      <c r="G361" s="32">
        <v>859589.00999999989</v>
      </c>
    </row>
    <row r="362" spans="1:7">
      <c r="A362" s="25" t="str">
        <f t="shared" si="5"/>
        <v>NV0294RNV00051</v>
      </c>
      <c r="B362" s="31">
        <v>9</v>
      </c>
      <c r="C362" s="25" t="s">
        <v>9</v>
      </c>
      <c r="D362" s="25" t="s">
        <v>214</v>
      </c>
      <c r="E362" s="25" t="s">
        <v>1461</v>
      </c>
      <c r="F362" s="32">
        <v>57404.33</v>
      </c>
      <c r="G362" s="32">
        <v>57404.33</v>
      </c>
    </row>
    <row r="363" spans="1:7">
      <c r="A363" s="25" t="str">
        <f t="shared" si="5"/>
        <v>NV0294RNV00064</v>
      </c>
      <c r="B363" s="31">
        <v>9</v>
      </c>
      <c r="C363" s="25" t="s">
        <v>9</v>
      </c>
      <c r="D363" s="25" t="s">
        <v>442</v>
      </c>
      <c r="E363" s="25" t="s">
        <v>1461</v>
      </c>
      <c r="F363" s="32">
        <v>17965</v>
      </c>
      <c r="G363" s="32">
        <v>15653.84</v>
      </c>
    </row>
    <row r="364" spans="1:7">
      <c r="A364" s="25" t="str">
        <f t="shared" si="5"/>
        <v>NV0294RNV00052</v>
      </c>
      <c r="B364" s="31">
        <v>9</v>
      </c>
      <c r="C364" s="25" t="s">
        <v>9</v>
      </c>
      <c r="D364" s="25" t="s">
        <v>212</v>
      </c>
      <c r="E364" s="25" t="s">
        <v>1461</v>
      </c>
      <c r="F364" s="32">
        <v>104529.86</v>
      </c>
      <c r="G364" s="32">
        <v>104529.86</v>
      </c>
    </row>
    <row r="365" spans="1:7">
      <c r="A365" s="25" t="str">
        <f t="shared" si="5"/>
        <v>NV0294RNV00048</v>
      </c>
      <c r="B365" s="31">
        <v>9</v>
      </c>
      <c r="C365" s="25" t="s">
        <v>9</v>
      </c>
      <c r="D365" s="25" t="s">
        <v>215</v>
      </c>
      <c r="E365" s="25" t="s">
        <v>1461</v>
      </c>
      <c r="F365" s="32">
        <v>132120.1</v>
      </c>
      <c r="G365" s="32">
        <v>132120.1</v>
      </c>
    </row>
    <row r="366" spans="1:7">
      <c r="A366" s="25" t="str">
        <f t="shared" si="5"/>
        <v>NV0294RNV00045</v>
      </c>
      <c r="B366" s="31">
        <v>9</v>
      </c>
      <c r="C366" s="25" t="s">
        <v>9</v>
      </c>
      <c r="D366" s="25" t="s">
        <v>213</v>
      </c>
      <c r="E366" s="25" t="s">
        <v>1461</v>
      </c>
      <c r="F366" s="32">
        <v>268791.1700000001</v>
      </c>
      <c r="G366" s="32">
        <v>268791.17000000004</v>
      </c>
    </row>
    <row r="367" spans="1:7">
      <c r="A367" s="25" t="str">
        <f t="shared" si="5"/>
        <v>AK0005RAK00091</v>
      </c>
      <c r="B367" s="31">
        <v>10</v>
      </c>
      <c r="C367" s="25" t="s">
        <v>64</v>
      </c>
      <c r="D367" s="25" t="s">
        <v>63</v>
      </c>
      <c r="E367" s="25" t="s">
        <v>1145</v>
      </c>
      <c r="F367" s="32">
        <v>62146.479999999996</v>
      </c>
      <c r="G367" s="32">
        <v>62146.479999999996</v>
      </c>
    </row>
    <row r="368" spans="1:7">
      <c r="A368" s="25" t="str">
        <f t="shared" si="5"/>
        <v>AK0506RAK00097</v>
      </c>
      <c r="B368" s="31">
        <v>10</v>
      </c>
      <c r="C368" s="25" t="s">
        <v>25</v>
      </c>
      <c r="D368" s="25" t="s">
        <v>24</v>
      </c>
      <c r="E368" s="25" t="s">
        <v>1146</v>
      </c>
      <c r="F368" s="32">
        <v>19869.999999999993</v>
      </c>
      <c r="G368" s="32">
        <v>19870</v>
      </c>
    </row>
    <row r="369" spans="1:7">
      <c r="A369" s="25" t="str">
        <f t="shared" si="5"/>
        <v>AK0506RAK00089</v>
      </c>
      <c r="B369" s="31">
        <v>10</v>
      </c>
      <c r="C369" s="25" t="s">
        <v>25</v>
      </c>
      <c r="D369" s="25" t="s">
        <v>211</v>
      </c>
      <c r="E369" s="25" t="s">
        <v>1146</v>
      </c>
      <c r="F369" s="32">
        <v>1980398.5100000002</v>
      </c>
      <c r="G369" s="32">
        <v>1980435.2700000005</v>
      </c>
    </row>
    <row r="370" spans="1:7">
      <c r="A370" s="25" t="str">
        <f t="shared" si="5"/>
        <v>AK0507RAK00098</v>
      </c>
      <c r="B370" s="31">
        <v>10</v>
      </c>
      <c r="C370" s="25" t="s">
        <v>705</v>
      </c>
      <c r="D370" s="25" t="s">
        <v>704</v>
      </c>
      <c r="E370" s="25" t="s">
        <v>1146</v>
      </c>
      <c r="F370" s="32">
        <v>255</v>
      </c>
      <c r="G370" s="32">
        <v>255</v>
      </c>
    </row>
    <row r="371" spans="1:7">
      <c r="A371" s="25" t="str">
        <f t="shared" si="5"/>
        <v>AK0508RAK00099</v>
      </c>
      <c r="B371" s="31">
        <v>10</v>
      </c>
      <c r="C371" s="25" t="s">
        <v>701</v>
      </c>
      <c r="D371" s="25" t="s">
        <v>700</v>
      </c>
      <c r="E371" s="25" t="s">
        <v>1146</v>
      </c>
      <c r="F371" s="32">
        <v>255</v>
      </c>
      <c r="G371" s="32">
        <v>255</v>
      </c>
    </row>
    <row r="372" spans="1:7">
      <c r="A372" s="25" t="str">
        <f t="shared" si="5"/>
        <v>AK0513RAK00100</v>
      </c>
      <c r="B372" s="31">
        <v>10</v>
      </c>
      <c r="C372" s="25" t="s">
        <v>707</v>
      </c>
      <c r="D372" s="25" t="s">
        <v>706</v>
      </c>
      <c r="E372" s="25" t="s">
        <v>1146</v>
      </c>
      <c r="F372" s="32">
        <v>255</v>
      </c>
      <c r="G372" s="32">
        <v>255</v>
      </c>
    </row>
    <row r="373" spans="1:7">
      <c r="A373" s="25" t="str">
        <f t="shared" si="5"/>
        <v>ID0030RID00027</v>
      </c>
      <c r="B373" s="31">
        <v>10</v>
      </c>
      <c r="C373" s="25" t="s">
        <v>703</v>
      </c>
      <c r="D373" s="25" t="s">
        <v>702</v>
      </c>
      <c r="E373" s="25" t="s">
        <v>1236</v>
      </c>
      <c r="F373" s="32">
        <v>2294.3700000000026</v>
      </c>
      <c r="G373" s="32">
        <v>2294.37</v>
      </c>
    </row>
    <row r="374" spans="1:7">
      <c r="A374" s="25" t="str">
        <f t="shared" si="5"/>
        <v>ID0560RID20717</v>
      </c>
      <c r="B374" s="31">
        <v>10</v>
      </c>
      <c r="C374" s="25" t="s">
        <v>359</v>
      </c>
      <c r="D374" s="25" t="s">
        <v>358</v>
      </c>
      <c r="E374" s="25" t="s">
        <v>1237</v>
      </c>
      <c r="F374" s="32">
        <v>534576.01</v>
      </c>
      <c r="G374" s="32">
        <v>532850.80000000005</v>
      </c>
    </row>
    <row r="375" spans="1:7">
      <c r="A375" s="25" t="str">
        <f t="shared" si="5"/>
        <v>OR0018ROR00122</v>
      </c>
      <c r="B375" s="31">
        <v>10</v>
      </c>
      <c r="C375" s="25" t="s">
        <v>37</v>
      </c>
      <c r="D375" s="25" t="s">
        <v>36</v>
      </c>
      <c r="E375" s="25" t="s">
        <v>1341</v>
      </c>
      <c r="F375" s="32">
        <v>37436.120000000003</v>
      </c>
      <c r="G375" s="32">
        <v>37436.120000000003</v>
      </c>
    </row>
    <row r="376" spans="1:7">
      <c r="A376" s="25" t="str">
        <f t="shared" si="5"/>
        <v>OR0018ROR00043</v>
      </c>
      <c r="B376" s="31">
        <v>10</v>
      </c>
      <c r="C376" s="25" t="s">
        <v>37</v>
      </c>
      <c r="D376" s="25" t="s">
        <v>54</v>
      </c>
      <c r="E376" s="25" t="s">
        <v>1340</v>
      </c>
      <c r="F376" s="32">
        <v>899348.57000000007</v>
      </c>
      <c r="G376" s="32">
        <v>899348.57</v>
      </c>
    </row>
    <row r="377" spans="1:7">
      <c r="A377" s="25" t="str">
        <f t="shared" si="5"/>
        <v>OR0023ROR00140</v>
      </c>
      <c r="B377" s="31">
        <v>10</v>
      </c>
      <c r="C377" s="25" t="s">
        <v>62</v>
      </c>
      <c r="D377" s="25" t="s">
        <v>651</v>
      </c>
      <c r="E377" s="25" t="s">
        <v>1342</v>
      </c>
      <c r="F377" s="32">
        <v>106724.55</v>
      </c>
      <c r="G377" s="32">
        <v>106724.55</v>
      </c>
    </row>
    <row r="378" spans="1:7">
      <c r="A378" s="25" t="str">
        <f t="shared" si="5"/>
        <v>OR0023ROR00123</v>
      </c>
      <c r="B378" s="31">
        <v>10</v>
      </c>
      <c r="C378" s="25" t="s">
        <v>62</v>
      </c>
      <c r="D378" s="25" t="s">
        <v>61</v>
      </c>
      <c r="E378" s="25" t="s">
        <v>1342</v>
      </c>
      <c r="F378" s="32">
        <v>44837.38</v>
      </c>
      <c r="G378" s="32">
        <v>44837.38</v>
      </c>
    </row>
    <row r="379" spans="1:7">
      <c r="A379" s="25" t="str">
        <f t="shared" si="5"/>
        <v>OR0023ROR00101</v>
      </c>
      <c r="B379" s="31">
        <v>10</v>
      </c>
      <c r="C379" s="25" t="s">
        <v>62</v>
      </c>
      <c r="D379" s="25" t="s">
        <v>79</v>
      </c>
      <c r="E379" s="25" t="s">
        <v>1342</v>
      </c>
      <c r="F379" s="32">
        <v>2506581.58</v>
      </c>
      <c r="G379" s="32">
        <v>2506581.5800000005</v>
      </c>
    </row>
    <row r="380" spans="1:7">
      <c r="A380" s="25" t="str">
        <f t="shared" si="5"/>
        <v>OR0024ROR00124</v>
      </c>
      <c r="B380" s="31">
        <v>10</v>
      </c>
      <c r="C380" s="25" t="s">
        <v>19</v>
      </c>
      <c r="D380" s="25" t="s">
        <v>18</v>
      </c>
      <c r="E380" s="25" t="s">
        <v>1343</v>
      </c>
      <c r="F380" s="32">
        <v>35269.170000000006</v>
      </c>
      <c r="G380" s="32">
        <v>35269.17</v>
      </c>
    </row>
    <row r="381" spans="1:7">
      <c r="A381" s="25" t="str">
        <f t="shared" si="5"/>
        <v>OR0033VOR00009</v>
      </c>
      <c r="B381" s="31">
        <v>10</v>
      </c>
      <c r="C381" s="25" t="s">
        <v>711</v>
      </c>
      <c r="D381" s="25" t="s">
        <v>710</v>
      </c>
      <c r="E381" s="25" t="s">
        <v>1344</v>
      </c>
      <c r="F381" s="32">
        <v>20.49</v>
      </c>
      <c r="G381" s="32">
        <v>20.49</v>
      </c>
    </row>
    <row r="382" spans="1:7">
      <c r="A382" s="25" t="str">
        <f t="shared" si="5"/>
        <v>OR0043VOR00014</v>
      </c>
      <c r="B382" s="31">
        <v>10</v>
      </c>
      <c r="C382" s="25" t="s">
        <v>51</v>
      </c>
      <c r="D382" s="25" t="s">
        <v>323</v>
      </c>
      <c r="E382" s="25" t="s">
        <v>1344</v>
      </c>
      <c r="F382" s="32">
        <v>2110154.5799999996</v>
      </c>
      <c r="G382" s="32">
        <v>2110154.58</v>
      </c>
    </row>
    <row r="383" spans="1:7">
      <c r="A383" s="25" t="str">
        <f t="shared" si="5"/>
        <v>OR0043VOR00007</v>
      </c>
      <c r="B383" s="31">
        <v>10</v>
      </c>
      <c r="C383" s="25" t="s">
        <v>51</v>
      </c>
      <c r="D383" s="25" t="s">
        <v>50</v>
      </c>
      <c r="E383" s="25" t="s">
        <v>1344</v>
      </c>
      <c r="F383" s="32">
        <v>3742800.2800000017</v>
      </c>
      <c r="G383" s="32">
        <v>3742800.2800000003</v>
      </c>
    </row>
    <row r="384" spans="1:7">
      <c r="A384" s="25" t="str">
        <f t="shared" si="5"/>
        <v>OR0051ROR00125</v>
      </c>
      <c r="B384" s="31">
        <v>10</v>
      </c>
      <c r="C384" s="25" t="s">
        <v>43</v>
      </c>
      <c r="D384" s="25" t="s">
        <v>65</v>
      </c>
      <c r="E384" s="25" t="s">
        <v>1346</v>
      </c>
      <c r="F384" s="32">
        <v>27751.869999999995</v>
      </c>
      <c r="G384" s="32">
        <v>27751.870000000003</v>
      </c>
    </row>
    <row r="385" spans="1:7">
      <c r="A385" s="25" t="str">
        <f t="shared" si="5"/>
        <v>OR0051ROR00011</v>
      </c>
      <c r="B385" s="31">
        <v>10</v>
      </c>
      <c r="C385" s="25" t="s">
        <v>43</v>
      </c>
      <c r="D385" s="25" t="s">
        <v>42</v>
      </c>
      <c r="E385" s="25" t="s">
        <v>1345</v>
      </c>
      <c r="F385" s="32">
        <v>650860.84999999986</v>
      </c>
      <c r="G385" s="32">
        <v>651096.69000000006</v>
      </c>
    </row>
    <row r="386" spans="1:7">
      <c r="A386" s="25" t="str">
        <f t="shared" si="5"/>
        <v>OR0052ROR00126</v>
      </c>
      <c r="B386" s="31">
        <v>10</v>
      </c>
      <c r="C386" s="25" t="s">
        <v>53</v>
      </c>
      <c r="D386" s="25" t="s">
        <v>52</v>
      </c>
      <c r="E386" s="25" t="s">
        <v>1347</v>
      </c>
      <c r="F386" s="32">
        <v>33287.75</v>
      </c>
      <c r="G386" s="32">
        <v>33287.75</v>
      </c>
    </row>
    <row r="387" spans="1:7">
      <c r="A387" s="25" t="str">
        <f t="shared" si="5"/>
        <v>OR0052ROR00121</v>
      </c>
      <c r="B387" s="31">
        <v>10</v>
      </c>
      <c r="C387" s="25" t="s">
        <v>53</v>
      </c>
      <c r="D387" s="25" t="s">
        <v>242</v>
      </c>
      <c r="E387" s="25" t="s">
        <v>1347</v>
      </c>
      <c r="F387" s="32">
        <v>339053.99</v>
      </c>
      <c r="G387" s="32">
        <v>339053.99000000005</v>
      </c>
    </row>
    <row r="388" spans="1:7">
      <c r="A388" s="25" t="str">
        <f t="shared" si="5"/>
        <v>OR0053ROR00127</v>
      </c>
      <c r="B388" s="31">
        <v>10</v>
      </c>
      <c r="C388" s="25" t="s">
        <v>31</v>
      </c>
      <c r="D388" s="25" t="s">
        <v>30</v>
      </c>
      <c r="E388" s="25" t="s">
        <v>1348</v>
      </c>
      <c r="F388" s="32">
        <v>37763.199999999997</v>
      </c>
      <c r="G388" s="32">
        <v>37763.199999999997</v>
      </c>
    </row>
    <row r="389" spans="1:7">
      <c r="A389" s="25" t="str">
        <f t="shared" ref="A389:A437" si="6">LEFT(C389,6)&amp;D389</f>
        <v>WA0035RWA00378</v>
      </c>
      <c r="B389" s="31">
        <v>10</v>
      </c>
      <c r="C389" s="25" t="s">
        <v>72</v>
      </c>
      <c r="D389" s="25" t="s">
        <v>71</v>
      </c>
      <c r="E389" s="25" t="s">
        <v>1401</v>
      </c>
      <c r="F389" s="32">
        <v>40048.370000000003</v>
      </c>
      <c r="G389" s="32">
        <v>40048.369999999995</v>
      </c>
    </row>
    <row r="390" spans="1:7">
      <c r="A390" s="25" t="str">
        <f t="shared" si="6"/>
        <v>WA0053RWA00384</v>
      </c>
      <c r="B390" s="31">
        <v>10</v>
      </c>
      <c r="C390" s="25" t="s">
        <v>131</v>
      </c>
      <c r="D390" s="25" t="s">
        <v>330</v>
      </c>
      <c r="E390" s="25" t="s">
        <v>1402</v>
      </c>
      <c r="F390" s="32">
        <v>52713.919999999998</v>
      </c>
      <c r="G390" s="32">
        <v>52713.920000000006</v>
      </c>
    </row>
    <row r="391" spans="1:7">
      <c r="A391" s="25" t="str">
        <f t="shared" si="6"/>
        <v>WA0053RWA00228</v>
      </c>
      <c r="B391" s="31">
        <v>10</v>
      </c>
      <c r="C391" s="25" t="s">
        <v>131</v>
      </c>
      <c r="D391" s="25" t="s">
        <v>227</v>
      </c>
      <c r="E391" s="25" t="s">
        <v>1402</v>
      </c>
      <c r="F391" s="32">
        <v>227187</v>
      </c>
      <c r="G391" s="32">
        <v>227187</v>
      </c>
    </row>
    <row r="392" spans="1:7">
      <c r="A392" s="25" t="str">
        <f t="shared" si="6"/>
        <v>WA0053RWA00376</v>
      </c>
      <c r="B392" s="31">
        <v>10</v>
      </c>
      <c r="C392" s="25" t="s">
        <v>131</v>
      </c>
      <c r="D392" s="25" t="s">
        <v>130</v>
      </c>
      <c r="E392" s="25" t="s">
        <v>1402</v>
      </c>
      <c r="F392" s="32">
        <v>336867</v>
      </c>
      <c r="G392" s="32">
        <v>336867</v>
      </c>
    </row>
    <row r="393" spans="1:7">
      <c r="A393" s="25" t="str">
        <f t="shared" si="6"/>
        <v>WA0059RWA00379</v>
      </c>
      <c r="B393" s="31">
        <v>10</v>
      </c>
      <c r="C393" s="25" t="s">
        <v>33</v>
      </c>
      <c r="D393" s="25" t="s">
        <v>32</v>
      </c>
      <c r="E393" s="25" t="s">
        <v>1403</v>
      </c>
      <c r="F393" s="32">
        <v>67344.850000000006</v>
      </c>
      <c r="G393" s="32">
        <v>67344.850000000006</v>
      </c>
    </row>
    <row r="394" spans="1:7">
      <c r="A394" s="25" t="str">
        <f t="shared" si="6"/>
        <v>WA0064RWA00426</v>
      </c>
      <c r="B394" s="31">
        <v>10</v>
      </c>
      <c r="C394" s="25" t="s">
        <v>336</v>
      </c>
      <c r="D394" s="25" t="s">
        <v>335</v>
      </c>
      <c r="E394" s="25" t="s">
        <v>1404</v>
      </c>
      <c r="F394" s="32">
        <v>775920.48999999976</v>
      </c>
      <c r="G394" s="32">
        <v>775920.49</v>
      </c>
    </row>
    <row r="395" spans="1:7">
      <c r="A395" s="25" t="str">
        <f t="shared" si="6"/>
        <v>WA0082RWA00375</v>
      </c>
      <c r="B395" s="31">
        <v>10</v>
      </c>
      <c r="C395" s="25" t="s">
        <v>111</v>
      </c>
      <c r="D395" s="25" t="s">
        <v>110</v>
      </c>
      <c r="E395" s="25" t="s">
        <v>1405</v>
      </c>
      <c r="F395" s="32">
        <v>436903.01</v>
      </c>
      <c r="G395" s="32">
        <v>433962.27000000014</v>
      </c>
    </row>
    <row r="396" spans="1:7">
      <c r="A396" s="25" t="str">
        <f t="shared" si="6"/>
        <v>WA0082RWA00385</v>
      </c>
      <c r="B396" s="31">
        <v>10</v>
      </c>
      <c r="C396" s="25" t="s">
        <v>111</v>
      </c>
      <c r="D396" s="25" t="s">
        <v>331</v>
      </c>
      <c r="E396" s="25" t="s">
        <v>1406</v>
      </c>
      <c r="F396" s="32">
        <v>42894.029999999992</v>
      </c>
      <c r="G396" s="32">
        <v>42894.030000000006</v>
      </c>
    </row>
    <row r="397" spans="1:7">
      <c r="A397" s="25" t="str">
        <f t="shared" si="6"/>
        <v>WA0094RWA00381</v>
      </c>
      <c r="B397" s="31">
        <v>10</v>
      </c>
      <c r="C397" s="25" t="s">
        <v>69</v>
      </c>
      <c r="D397" s="25" t="s">
        <v>68</v>
      </c>
      <c r="E397" s="25" t="s">
        <v>1407</v>
      </c>
      <c r="F397" s="32">
        <v>32401.3</v>
      </c>
      <c r="G397" s="32">
        <v>32401.3</v>
      </c>
    </row>
    <row r="398" spans="1:7">
      <c r="A398" s="25" t="str">
        <f t="shared" si="6"/>
        <v>WA0094RWA00397</v>
      </c>
      <c r="B398" s="31">
        <v>10</v>
      </c>
      <c r="C398" s="25" t="s">
        <v>69</v>
      </c>
      <c r="D398" s="25" t="s">
        <v>311</v>
      </c>
      <c r="E398" s="25" t="s">
        <v>1407</v>
      </c>
      <c r="F398" s="32">
        <v>76986</v>
      </c>
      <c r="G398" s="32">
        <v>76986</v>
      </c>
    </row>
    <row r="399" spans="1:7">
      <c r="A399" s="25" t="str">
        <f t="shared" si="6"/>
        <v>WA0094RWA00398</v>
      </c>
      <c r="B399" s="31">
        <v>10</v>
      </c>
      <c r="C399" s="25" t="s">
        <v>69</v>
      </c>
      <c r="D399" s="25" t="s">
        <v>289</v>
      </c>
      <c r="E399" s="25" t="s">
        <v>1407</v>
      </c>
      <c r="F399" s="32">
        <v>119449.45000000001</v>
      </c>
      <c r="G399" s="32">
        <v>119449.45</v>
      </c>
    </row>
    <row r="400" spans="1:7">
      <c r="A400" s="25" t="str">
        <f t="shared" si="6"/>
        <v>WA0119RWA00380</v>
      </c>
      <c r="B400" s="31">
        <v>10</v>
      </c>
      <c r="C400" s="25" t="s">
        <v>67</v>
      </c>
      <c r="D400" s="25" t="s">
        <v>66</v>
      </c>
      <c r="E400" s="25" t="s">
        <v>1408</v>
      </c>
      <c r="F400" s="32">
        <v>34920.699999999997</v>
      </c>
      <c r="G400" s="32">
        <v>34920.699999999997</v>
      </c>
    </row>
    <row r="401" spans="1:7">
      <c r="A401" s="25" t="str">
        <f t="shared" si="6"/>
        <v>WA0120RWA00386</v>
      </c>
      <c r="B401" s="31">
        <v>10</v>
      </c>
      <c r="C401" s="25" t="s">
        <v>78</v>
      </c>
      <c r="D401" s="25" t="s">
        <v>77</v>
      </c>
      <c r="E401" s="25" t="s">
        <v>1409</v>
      </c>
      <c r="F401" s="32">
        <v>70873.119999999995</v>
      </c>
      <c r="G401" s="32">
        <v>70873.119999999995</v>
      </c>
    </row>
    <row r="402" spans="1:7">
      <c r="A402" s="25" t="str">
        <f t="shared" si="6"/>
        <v>WA0124RWA00402</v>
      </c>
      <c r="B402" s="31">
        <v>10</v>
      </c>
      <c r="C402" s="25" t="s">
        <v>320</v>
      </c>
      <c r="D402" s="25" t="s">
        <v>319</v>
      </c>
      <c r="E402" s="25" t="s">
        <v>1410</v>
      </c>
      <c r="F402" s="32">
        <v>42162.78</v>
      </c>
      <c r="G402" s="32">
        <v>42162.780000000006</v>
      </c>
    </row>
    <row r="403" spans="1:7">
      <c r="A403" s="25" t="str">
        <f t="shared" si="6"/>
        <v>WA0130RWA00403</v>
      </c>
      <c r="B403" s="31">
        <v>10</v>
      </c>
      <c r="C403" s="25" t="s">
        <v>316</v>
      </c>
      <c r="D403" s="25" t="s">
        <v>315</v>
      </c>
      <c r="E403" s="25" t="s">
        <v>1410</v>
      </c>
      <c r="F403" s="32">
        <v>31354.28</v>
      </c>
      <c r="G403" s="32">
        <v>31354.28</v>
      </c>
    </row>
    <row r="404" spans="1:7">
      <c r="A404" s="25" t="str">
        <f t="shared" si="6"/>
        <v>WA0551RWA20715</v>
      </c>
      <c r="B404" s="31">
        <v>10</v>
      </c>
      <c r="C404" s="25" t="s">
        <v>229</v>
      </c>
      <c r="D404" s="25" t="s">
        <v>228</v>
      </c>
      <c r="E404" s="25" t="s">
        <v>1411</v>
      </c>
      <c r="F404" s="32">
        <v>162720.99</v>
      </c>
      <c r="G404" s="32">
        <v>162720.99</v>
      </c>
    </row>
    <row r="405" spans="1:7">
      <c r="A405" s="25" t="str">
        <f t="shared" si="6"/>
        <v>WA0653RWA00401</v>
      </c>
      <c r="B405" s="31">
        <v>10</v>
      </c>
      <c r="C405" s="25" t="s">
        <v>76</v>
      </c>
      <c r="D405" s="25" t="s">
        <v>75</v>
      </c>
      <c r="E405" s="25" t="s">
        <v>1412</v>
      </c>
      <c r="F405" s="32">
        <v>41531.300000000003</v>
      </c>
      <c r="G405" s="32">
        <v>41531.299999999996</v>
      </c>
    </row>
    <row r="406" spans="1:7">
      <c r="A406" s="25" t="str">
        <f t="shared" si="6"/>
        <v>WA0831RWA00404</v>
      </c>
      <c r="B406" s="31">
        <v>10</v>
      </c>
      <c r="C406" s="25" t="s">
        <v>322</v>
      </c>
      <c r="D406" s="25" t="s">
        <v>321</v>
      </c>
      <c r="E406" s="25" t="s">
        <v>1413</v>
      </c>
      <c r="F406" s="32">
        <v>15305.46</v>
      </c>
      <c r="G406" s="32">
        <v>15305.46</v>
      </c>
    </row>
    <row r="407" spans="1:7">
      <c r="A407" s="25" t="str">
        <f t="shared" si="6"/>
        <v>WA7587RWA00392</v>
      </c>
      <c r="B407" s="31">
        <v>10</v>
      </c>
      <c r="C407" s="25" t="s">
        <v>39</v>
      </c>
      <c r="D407" s="25" t="s">
        <v>38</v>
      </c>
      <c r="E407" s="25" t="s">
        <v>1414</v>
      </c>
      <c r="F407" s="32">
        <v>48048.47</v>
      </c>
      <c r="G407" s="32">
        <v>48048.169999999991</v>
      </c>
    </row>
    <row r="408" spans="1:7">
      <c r="A408" s="25" t="str">
        <f t="shared" si="6"/>
        <v>DC0001RDC01499</v>
      </c>
      <c r="B408" s="31">
        <v>11</v>
      </c>
      <c r="C408" s="25" t="s">
        <v>543</v>
      </c>
      <c r="D408" s="25" t="s">
        <v>542</v>
      </c>
      <c r="E408" s="25" t="s">
        <v>1197</v>
      </c>
      <c r="F408" s="32">
        <v>19531</v>
      </c>
      <c r="G408" s="32">
        <v>450</v>
      </c>
    </row>
    <row r="409" spans="1:7">
      <c r="A409" s="25" t="str">
        <f t="shared" si="6"/>
        <v>DC0003RDC01588</v>
      </c>
      <c r="B409" s="31">
        <v>11</v>
      </c>
      <c r="C409" s="25" t="s">
        <v>589</v>
      </c>
      <c r="D409" s="25" t="s">
        <v>588</v>
      </c>
      <c r="E409" s="25" t="s">
        <v>1198</v>
      </c>
      <c r="F409" s="32">
        <v>74212</v>
      </c>
      <c r="G409" s="32">
        <v>2250</v>
      </c>
    </row>
    <row r="410" spans="1:7">
      <c r="A410" s="25" t="str">
        <f t="shared" si="6"/>
        <v>DC0005RDC01589</v>
      </c>
      <c r="B410" s="31">
        <v>11</v>
      </c>
      <c r="C410" s="25" t="s">
        <v>565</v>
      </c>
      <c r="D410" s="25" t="s">
        <v>564</v>
      </c>
      <c r="E410" s="25" t="s">
        <v>1199</v>
      </c>
      <c r="F410" s="32">
        <v>102925</v>
      </c>
      <c r="G410" s="32">
        <v>3375</v>
      </c>
    </row>
    <row r="411" spans="1:7">
      <c r="A411" s="25" t="str">
        <f t="shared" si="6"/>
        <v>DC0021VDC00032</v>
      </c>
      <c r="B411" s="31">
        <v>11</v>
      </c>
      <c r="C411" s="25" t="s">
        <v>121</v>
      </c>
      <c r="D411" s="25" t="s">
        <v>120</v>
      </c>
      <c r="E411" s="25" t="s">
        <v>1200</v>
      </c>
      <c r="F411" s="32">
        <v>2304302.2100000051</v>
      </c>
      <c r="G411" s="32">
        <v>2151241.2300000004</v>
      </c>
    </row>
    <row r="412" spans="1:7">
      <c r="A412" s="25" t="str">
        <f t="shared" si="6"/>
        <v>DC0021RDC01694</v>
      </c>
      <c r="B412" s="31">
        <v>11</v>
      </c>
      <c r="C412" s="25" t="s">
        <v>121</v>
      </c>
      <c r="D412" s="25" t="s">
        <v>301</v>
      </c>
      <c r="E412" s="25" t="s">
        <v>1200</v>
      </c>
      <c r="F412" s="32">
        <v>9883270.7299999986</v>
      </c>
      <c r="G412" s="32">
        <v>9988019.6599999927</v>
      </c>
    </row>
    <row r="413" spans="1:7">
      <c r="A413" s="25" t="str">
        <f t="shared" si="6"/>
        <v>DC0029RDC01557</v>
      </c>
      <c r="B413" s="31">
        <v>11</v>
      </c>
      <c r="C413" s="25" t="s">
        <v>611</v>
      </c>
      <c r="D413" s="25" t="s">
        <v>610</v>
      </c>
      <c r="E413" s="25" t="s">
        <v>1201</v>
      </c>
      <c r="F413" s="32">
        <v>39614</v>
      </c>
      <c r="G413" s="32">
        <v>39614</v>
      </c>
    </row>
    <row r="414" spans="1:7">
      <c r="A414" s="25" t="str">
        <f t="shared" si="6"/>
        <v>DC0031RDC01912</v>
      </c>
      <c r="B414" s="31">
        <v>11</v>
      </c>
      <c r="C414" s="25" t="s">
        <v>631</v>
      </c>
      <c r="D414" s="25" t="s">
        <v>652</v>
      </c>
      <c r="E414" s="25" t="s">
        <v>1202</v>
      </c>
      <c r="F414" s="32">
        <v>199718.58</v>
      </c>
      <c r="G414" s="32">
        <v>199718.58</v>
      </c>
    </row>
    <row r="415" spans="1:7">
      <c r="A415" s="25" t="str">
        <f t="shared" si="6"/>
        <v>DC0078RDC01503</v>
      </c>
      <c r="B415" s="31">
        <v>11</v>
      </c>
      <c r="C415" s="25" t="s">
        <v>597</v>
      </c>
      <c r="D415" s="25" t="s">
        <v>596</v>
      </c>
      <c r="E415" s="25" t="s">
        <v>1203</v>
      </c>
      <c r="F415" s="32">
        <v>26383</v>
      </c>
      <c r="G415" s="32">
        <v>26383</v>
      </c>
    </row>
    <row r="416" spans="1:7">
      <c r="A416" s="25" t="str">
        <f t="shared" si="6"/>
        <v>DC0093RDC01575</v>
      </c>
      <c r="B416" s="31">
        <v>11</v>
      </c>
      <c r="C416" s="25" t="s">
        <v>164</v>
      </c>
      <c r="D416" s="25" t="s">
        <v>163</v>
      </c>
      <c r="E416" s="25" t="s">
        <v>1204</v>
      </c>
      <c r="F416" s="32">
        <v>859835</v>
      </c>
      <c r="G416" s="32">
        <v>859835</v>
      </c>
    </row>
    <row r="417" spans="1:7">
      <c r="A417" s="25" t="str">
        <f t="shared" si="6"/>
        <v>DC0105RDC01507</v>
      </c>
      <c r="B417" s="31">
        <v>11</v>
      </c>
      <c r="C417" s="25" t="s">
        <v>583</v>
      </c>
      <c r="D417" s="25" t="s">
        <v>582</v>
      </c>
      <c r="E417" s="25" t="s">
        <v>1205</v>
      </c>
      <c r="F417" s="32">
        <v>109605</v>
      </c>
      <c r="G417" s="32">
        <v>71680</v>
      </c>
    </row>
    <row r="418" spans="1:7">
      <c r="A418" s="25" t="str">
        <f t="shared" si="6"/>
        <v>DC0111RDC01508</v>
      </c>
      <c r="B418" s="31">
        <v>11</v>
      </c>
      <c r="C418" s="25" t="s">
        <v>587</v>
      </c>
      <c r="D418" s="25" t="s">
        <v>586</v>
      </c>
      <c r="E418" s="25" t="s">
        <v>1206</v>
      </c>
      <c r="F418" s="32">
        <v>27739</v>
      </c>
      <c r="G418" s="32">
        <v>27739</v>
      </c>
    </row>
    <row r="419" spans="1:7">
      <c r="A419" s="25" t="str">
        <f t="shared" si="6"/>
        <v>DC0112RDC01509</v>
      </c>
      <c r="B419" s="31">
        <v>11</v>
      </c>
      <c r="C419" s="25" t="s">
        <v>579</v>
      </c>
      <c r="D419" s="25" t="s">
        <v>578</v>
      </c>
      <c r="E419" s="25" t="s">
        <v>1207</v>
      </c>
      <c r="F419" s="32">
        <v>26888</v>
      </c>
      <c r="G419" s="32">
        <v>26888</v>
      </c>
    </row>
    <row r="420" spans="1:7">
      <c r="A420" s="25" t="str">
        <f t="shared" si="6"/>
        <v>DC0113RDC01510</v>
      </c>
      <c r="B420" s="31">
        <v>11</v>
      </c>
      <c r="C420" s="25" t="s">
        <v>604</v>
      </c>
      <c r="D420" s="25" t="s">
        <v>603</v>
      </c>
      <c r="E420" s="25" t="s">
        <v>1208</v>
      </c>
      <c r="F420" s="32">
        <v>26888</v>
      </c>
      <c r="G420" s="32">
        <v>26888</v>
      </c>
    </row>
    <row r="421" spans="1:7">
      <c r="A421" s="25" t="str">
        <f t="shared" si="6"/>
        <v>DC0117RDC01511</v>
      </c>
      <c r="B421" s="31">
        <v>11</v>
      </c>
      <c r="C421" s="25" t="s">
        <v>623</v>
      </c>
      <c r="D421" s="25" t="s">
        <v>622</v>
      </c>
      <c r="E421" s="25" t="s">
        <v>1209</v>
      </c>
      <c r="F421" s="32">
        <v>44040</v>
      </c>
      <c r="G421" s="32">
        <v>44040</v>
      </c>
    </row>
    <row r="422" spans="1:7">
      <c r="A422" s="25" t="str">
        <f t="shared" si="6"/>
        <v>DC0207RDC01859</v>
      </c>
      <c r="B422" s="31">
        <v>11</v>
      </c>
      <c r="C422" s="25" t="s">
        <v>650</v>
      </c>
      <c r="D422" s="25" t="s">
        <v>649</v>
      </c>
      <c r="E422" s="25" t="s">
        <v>1200</v>
      </c>
      <c r="F422" s="32">
        <v>1248108.3899999999</v>
      </c>
      <c r="G422" s="32">
        <v>1248108.3899999999</v>
      </c>
    </row>
    <row r="423" spans="1:7">
      <c r="A423" s="25" t="str">
        <f t="shared" si="6"/>
        <v>DC0313RDC01512</v>
      </c>
      <c r="B423" s="31">
        <v>11</v>
      </c>
      <c r="C423" s="25" t="s">
        <v>615</v>
      </c>
      <c r="D423" s="25" t="s">
        <v>614</v>
      </c>
      <c r="E423" s="25" t="s">
        <v>1210</v>
      </c>
      <c r="F423" s="32">
        <v>47400</v>
      </c>
      <c r="G423" s="32">
        <v>47400</v>
      </c>
    </row>
    <row r="424" spans="1:7">
      <c r="A424" s="25" t="str">
        <f t="shared" si="6"/>
        <v>DC0458RDC01556</v>
      </c>
      <c r="B424" s="31">
        <v>11</v>
      </c>
      <c r="C424" s="25" t="s">
        <v>581</v>
      </c>
      <c r="D424" s="25" t="s">
        <v>580</v>
      </c>
      <c r="E424" s="25" t="s">
        <v>1211</v>
      </c>
      <c r="F424" s="32">
        <v>30574</v>
      </c>
      <c r="G424" s="32">
        <v>30574</v>
      </c>
    </row>
    <row r="425" spans="1:7">
      <c r="A425" s="25" t="str">
        <f t="shared" si="6"/>
        <v>DC0469RDC01551</v>
      </c>
      <c r="B425" s="31">
        <v>11</v>
      </c>
      <c r="C425" s="25" t="s">
        <v>595</v>
      </c>
      <c r="D425" s="25" t="s">
        <v>594</v>
      </c>
      <c r="E425" s="25" t="s">
        <v>1212</v>
      </c>
      <c r="F425" s="32">
        <v>28022</v>
      </c>
      <c r="G425" s="32">
        <v>28022</v>
      </c>
    </row>
    <row r="426" spans="1:7">
      <c r="A426" s="25" t="str">
        <f t="shared" si="6"/>
        <v>DC0573RDC01515</v>
      </c>
      <c r="B426" s="31">
        <v>11</v>
      </c>
      <c r="C426" s="25" t="s">
        <v>593</v>
      </c>
      <c r="D426" s="25" t="s">
        <v>592</v>
      </c>
      <c r="E426" s="25" t="s">
        <v>1213</v>
      </c>
      <c r="F426" s="32">
        <v>17500</v>
      </c>
      <c r="G426" s="32">
        <v>15000</v>
      </c>
    </row>
    <row r="427" spans="1:7">
      <c r="A427" s="25" t="str">
        <f t="shared" si="6"/>
        <v>DC1400RDC01576</v>
      </c>
      <c r="B427" s="31">
        <v>11</v>
      </c>
      <c r="C427" s="25" t="s">
        <v>559</v>
      </c>
      <c r="D427" s="25" t="s">
        <v>558</v>
      </c>
      <c r="E427" s="25" t="s">
        <v>1214</v>
      </c>
      <c r="F427" s="32">
        <v>44030</v>
      </c>
      <c r="G427" s="32" t="s">
        <v>1479</v>
      </c>
    </row>
    <row r="428" spans="1:7">
      <c r="A428" s="25" t="str">
        <f t="shared" si="6"/>
        <v>MD0070RMD00380</v>
      </c>
      <c r="B428" s="31">
        <v>11</v>
      </c>
      <c r="C428" s="25" t="s">
        <v>569</v>
      </c>
      <c r="D428" s="25" t="s">
        <v>568</v>
      </c>
      <c r="E428" s="25" t="s">
        <v>1269</v>
      </c>
      <c r="F428" s="32">
        <v>26155</v>
      </c>
      <c r="G428" s="32">
        <v>26155</v>
      </c>
    </row>
    <row r="429" spans="1:7">
      <c r="A429" s="25" t="str">
        <f t="shared" si="6"/>
        <v>MD0205RMD00488</v>
      </c>
      <c r="B429" s="31">
        <v>11</v>
      </c>
      <c r="C429" s="25" t="s">
        <v>1462</v>
      </c>
      <c r="D429" s="25" t="s">
        <v>1463</v>
      </c>
      <c r="E429" s="25" t="s">
        <v>1464</v>
      </c>
      <c r="F429" s="32">
        <v>56000</v>
      </c>
      <c r="G429" s="32">
        <v>35950</v>
      </c>
    </row>
    <row r="430" spans="1:7">
      <c r="A430" s="25" t="str">
        <f t="shared" si="6"/>
        <v>MD0232RMD00382</v>
      </c>
      <c r="B430" s="31">
        <v>11</v>
      </c>
      <c r="C430" s="25" t="s">
        <v>585</v>
      </c>
      <c r="D430" s="25" t="s">
        <v>584</v>
      </c>
      <c r="E430" s="25" t="s">
        <v>1270</v>
      </c>
      <c r="F430" s="32">
        <v>48292</v>
      </c>
      <c r="G430" s="32">
        <v>48292</v>
      </c>
    </row>
    <row r="431" spans="1:7">
      <c r="A431" s="25" t="str">
        <f t="shared" si="6"/>
        <v>MD0334RMD00487</v>
      </c>
      <c r="B431" s="31">
        <v>11</v>
      </c>
      <c r="C431" s="25" t="s">
        <v>1465</v>
      </c>
      <c r="D431" s="25" t="s">
        <v>1466</v>
      </c>
      <c r="E431" s="25" t="s">
        <v>1467</v>
      </c>
      <c r="F431" s="32">
        <v>97000</v>
      </c>
      <c r="G431" s="32">
        <v>92100</v>
      </c>
    </row>
    <row r="432" spans="1:7">
      <c r="A432" s="25" t="str">
        <f t="shared" si="6"/>
        <v>MD0531RMD00394</v>
      </c>
      <c r="B432" s="31">
        <v>11</v>
      </c>
      <c r="C432" s="25" t="s">
        <v>486</v>
      </c>
      <c r="D432" s="25" t="s">
        <v>485</v>
      </c>
      <c r="E432" s="25" t="s">
        <v>1271</v>
      </c>
      <c r="F432" s="32">
        <v>2484051.8199999998</v>
      </c>
      <c r="G432" s="32">
        <v>2448503.48</v>
      </c>
    </row>
    <row r="433" spans="1:7">
      <c r="A433" s="25" t="str">
        <f t="shared" si="6"/>
        <v>MD0778RMD00292</v>
      </c>
      <c r="B433" s="31">
        <v>11</v>
      </c>
      <c r="C433" s="25" t="s">
        <v>379</v>
      </c>
      <c r="D433" s="25" t="s">
        <v>378</v>
      </c>
      <c r="E433" s="25" t="s">
        <v>1272</v>
      </c>
      <c r="F433" s="32">
        <v>799841</v>
      </c>
      <c r="G433" s="32">
        <v>799840.99999999988</v>
      </c>
    </row>
    <row r="434" spans="1:7">
      <c r="A434" s="25" t="str">
        <f t="shared" si="6"/>
        <v>MD0781RMD00378</v>
      </c>
      <c r="B434" s="31">
        <v>11</v>
      </c>
      <c r="C434" s="25" t="s">
        <v>567</v>
      </c>
      <c r="D434" s="25" t="s">
        <v>566</v>
      </c>
      <c r="E434" s="25" t="s">
        <v>1273</v>
      </c>
      <c r="F434" s="32">
        <v>17550</v>
      </c>
      <c r="G434" s="32">
        <v>17550</v>
      </c>
    </row>
    <row r="435" spans="1:7">
      <c r="A435" s="33" t="str">
        <f t="shared" si="6"/>
        <v>AX0000Y00APPTR</v>
      </c>
      <c r="B435" s="31">
        <v>0</v>
      </c>
      <c r="C435" s="25" t="s">
        <v>96</v>
      </c>
      <c r="D435" s="25" t="s">
        <v>95</v>
      </c>
      <c r="E435" s="25" t="s">
        <v>1157</v>
      </c>
      <c r="F435" s="32">
        <v>2993357.45</v>
      </c>
      <c r="G435" s="32">
        <v>2993357.4499999997</v>
      </c>
    </row>
    <row r="436" spans="1:7">
      <c r="A436" s="25" t="str">
        <f t="shared" si="6"/>
        <v>VA0321RVA00235</v>
      </c>
      <c r="B436" s="31">
        <v>11</v>
      </c>
      <c r="C436" s="25" t="s">
        <v>548</v>
      </c>
      <c r="D436" s="25" t="s">
        <v>547</v>
      </c>
      <c r="E436" s="25" t="s">
        <v>1395</v>
      </c>
      <c r="F436" s="32">
        <v>36660</v>
      </c>
      <c r="G436" s="32">
        <v>36660</v>
      </c>
    </row>
    <row r="437" spans="1:7">
      <c r="A437" s="25" t="str">
        <f t="shared" si="6"/>
        <v>VA0508RVA00242</v>
      </c>
      <c r="B437" s="31">
        <v>11</v>
      </c>
      <c r="C437" s="25" t="s">
        <v>608</v>
      </c>
      <c r="D437" s="25" t="s">
        <v>607</v>
      </c>
      <c r="E437" s="25" t="s">
        <v>1396</v>
      </c>
      <c r="F437" s="32">
        <v>92080</v>
      </c>
      <c r="G437" s="32">
        <v>2250</v>
      </c>
    </row>
    <row r="438" spans="1:7">
      <c r="A438" s="35" t="s">
        <v>1473</v>
      </c>
      <c r="B438" s="36">
        <f>SUBTOTAL(103,[Region])</f>
        <v>431</v>
      </c>
      <c r="C438" s="34"/>
      <c r="D438" s="34"/>
      <c r="E438" s="34"/>
      <c r="F438" s="37">
        <f>SUBTOTAL(109,[Total Obligations  as of 11/30/12])</f>
        <v>200720880.40000004</v>
      </c>
      <c r="G438" s="37">
        <f>SUBTOTAL(109,[Total Outlays as of 11/30/12])</f>
        <v>189633601.62000006</v>
      </c>
    </row>
  </sheetData>
  <conditionalFormatting sqref="A7:A437">
    <cfRule type="duplicateValues" dxfId="8" priority="3"/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4:J444"/>
  <sheetViews>
    <sheetView view="pageBreakPreview" topLeftCell="B1" zoomScale="90" zoomScaleNormal="100" zoomScaleSheetLayoutView="90" workbookViewId="0">
      <pane ySplit="6" topLeftCell="A7" activePane="bottomLeft" state="frozen"/>
      <selection activeCell="B1" sqref="B1"/>
      <selection pane="bottomLeft" activeCell="B7" sqref="B7"/>
    </sheetView>
  </sheetViews>
  <sheetFormatPr defaultRowHeight="15"/>
  <cols>
    <col min="1" max="1" width="20.42578125" style="18" hidden="1" customWidth="1"/>
    <col min="2" max="2" width="10.7109375" style="19" customWidth="1"/>
    <col min="3" max="3" width="12.140625" style="18" bestFit="1" customWidth="1"/>
    <col min="4" max="4" width="12.140625" style="18" customWidth="1"/>
    <col min="5" max="5" width="62.5703125" style="18" customWidth="1"/>
    <col min="6" max="7" width="17.7109375" style="11" customWidth="1"/>
    <col min="8" max="9" width="16.85546875" style="18" hidden="1" customWidth="1"/>
    <col min="10" max="10" width="15.7109375" style="18" customWidth="1"/>
    <col min="11" max="16384" width="9.140625" style="18"/>
  </cols>
  <sheetData>
    <row r="4" spans="1:10" ht="9" customHeight="1"/>
    <row r="5" spans="1:10" ht="9" customHeight="1" thickBot="1"/>
    <row r="6" spans="1:10" ht="38.25" customHeight="1">
      <c r="A6" s="12" t="s">
        <v>1421</v>
      </c>
      <c r="B6" s="13" t="s">
        <v>1484</v>
      </c>
      <c r="C6" s="13" t="s">
        <v>1429</v>
      </c>
      <c r="D6" s="13" t="s">
        <v>1430</v>
      </c>
      <c r="E6" s="13" t="s">
        <v>1420</v>
      </c>
      <c r="F6" s="14" t="s">
        <v>1481</v>
      </c>
      <c r="G6" s="14" t="s">
        <v>1482</v>
      </c>
      <c r="H6" s="12" t="s">
        <v>1431</v>
      </c>
      <c r="I6" s="12" t="s">
        <v>1432</v>
      </c>
    </row>
    <row r="7" spans="1:10">
      <c r="A7" s="18" t="s">
        <v>713</v>
      </c>
      <c r="B7" s="20">
        <v>0</v>
      </c>
      <c r="C7" s="21" t="s">
        <v>96</v>
      </c>
      <c r="D7" s="21" t="s">
        <v>95</v>
      </c>
      <c r="E7" s="21" t="s">
        <v>1157</v>
      </c>
      <c r="F7" s="22">
        <v>2993357.4499999997</v>
      </c>
      <c r="G7" s="22">
        <v>2993357.4500000007</v>
      </c>
      <c r="H7" s="23">
        <v>1798910.8299999998</v>
      </c>
      <c r="I7" s="23">
        <v>418200.85</v>
      </c>
      <c r="J7" s="17"/>
    </row>
    <row r="8" spans="1:10">
      <c r="A8" s="18" t="s">
        <v>714</v>
      </c>
      <c r="B8" s="20">
        <v>1</v>
      </c>
      <c r="C8" s="21" t="s">
        <v>402</v>
      </c>
      <c r="D8" s="21" t="s">
        <v>401</v>
      </c>
      <c r="E8" s="21" t="s">
        <v>1433</v>
      </c>
      <c r="F8" s="22">
        <v>86165.2</v>
      </c>
      <c r="G8" s="22">
        <v>82383.16</v>
      </c>
      <c r="H8" s="23">
        <v>19869.999999999993</v>
      </c>
      <c r="I8" s="23">
        <v>19870</v>
      </c>
      <c r="J8" s="17"/>
    </row>
    <row r="9" spans="1:10">
      <c r="A9" s="18" t="s">
        <v>715</v>
      </c>
      <c r="B9" s="20">
        <v>1</v>
      </c>
      <c r="C9" s="21" t="s">
        <v>354</v>
      </c>
      <c r="D9" s="21" t="s">
        <v>353</v>
      </c>
      <c r="E9" s="21" t="s">
        <v>1433</v>
      </c>
      <c r="F9" s="22">
        <v>56113.199999999983</v>
      </c>
      <c r="G9" s="22">
        <v>56113.2</v>
      </c>
      <c r="H9" s="23">
        <v>255</v>
      </c>
      <c r="I9" s="23">
        <v>255</v>
      </c>
      <c r="J9" s="17"/>
    </row>
    <row r="10" spans="1:10">
      <c r="A10" s="18" t="s">
        <v>716</v>
      </c>
      <c r="B10" s="20">
        <v>1</v>
      </c>
      <c r="C10" s="21" t="s">
        <v>420</v>
      </c>
      <c r="D10" s="21" t="s">
        <v>419</v>
      </c>
      <c r="E10" s="21" t="s">
        <v>1433</v>
      </c>
      <c r="F10" s="22">
        <v>39654.55999999999</v>
      </c>
      <c r="G10" s="22">
        <v>39654.559999999998</v>
      </c>
      <c r="H10" s="23">
        <v>255</v>
      </c>
      <c r="I10" s="23">
        <v>255</v>
      </c>
      <c r="J10" s="17"/>
    </row>
    <row r="11" spans="1:10">
      <c r="A11" s="18" t="s">
        <v>717</v>
      </c>
      <c r="B11" s="20">
        <v>1</v>
      </c>
      <c r="C11" s="21" t="s">
        <v>417</v>
      </c>
      <c r="D11" s="21" t="s">
        <v>416</v>
      </c>
      <c r="E11" s="21" t="s">
        <v>1433</v>
      </c>
      <c r="F11" s="22">
        <v>38077.800000000003</v>
      </c>
      <c r="G11" s="22">
        <v>38077.800000000003</v>
      </c>
      <c r="H11" s="23">
        <v>255</v>
      </c>
      <c r="I11" s="23">
        <v>255</v>
      </c>
      <c r="J11" s="17"/>
    </row>
    <row r="12" spans="1:10">
      <c r="A12" s="18" t="s">
        <v>719</v>
      </c>
      <c r="B12" s="20">
        <v>1</v>
      </c>
      <c r="C12" s="21" t="s">
        <v>377</v>
      </c>
      <c r="D12" s="21" t="s">
        <v>376</v>
      </c>
      <c r="E12" s="21" t="s">
        <v>1433</v>
      </c>
      <c r="F12" s="22">
        <v>34572.270000000004</v>
      </c>
      <c r="G12" s="22">
        <v>34572.270000000004</v>
      </c>
      <c r="H12" s="23">
        <v>59759</v>
      </c>
      <c r="I12" s="23">
        <v>19842.7</v>
      </c>
      <c r="J12" s="17"/>
    </row>
    <row r="13" spans="1:10">
      <c r="A13" s="18" t="s">
        <v>720</v>
      </c>
      <c r="B13" s="20">
        <v>1</v>
      </c>
      <c r="C13" s="21" t="s">
        <v>451</v>
      </c>
      <c r="D13" s="21" t="s">
        <v>450</v>
      </c>
      <c r="E13" s="21" t="s">
        <v>1433</v>
      </c>
      <c r="F13" s="22">
        <v>55637.630000000012</v>
      </c>
      <c r="G13" s="22">
        <v>55637.63</v>
      </c>
      <c r="H13" s="23">
        <v>459173.65</v>
      </c>
      <c r="I13" s="23">
        <v>22832.240000000002</v>
      </c>
      <c r="J13" s="17"/>
    </row>
    <row r="14" spans="1:10">
      <c r="A14" s="18" t="s">
        <v>721</v>
      </c>
      <c r="B14" s="20">
        <v>1</v>
      </c>
      <c r="C14" s="21" t="s">
        <v>258</v>
      </c>
      <c r="D14" s="21" t="s">
        <v>1470</v>
      </c>
      <c r="E14" s="21" t="s">
        <v>1433</v>
      </c>
      <c r="F14" s="22">
        <v>53579.009999999987</v>
      </c>
      <c r="G14" s="22">
        <v>53579.01</v>
      </c>
      <c r="H14" s="23">
        <v>57893.07</v>
      </c>
      <c r="I14" s="23">
        <v>41255.42</v>
      </c>
      <c r="J14" s="17"/>
    </row>
    <row r="15" spans="1:10">
      <c r="A15" s="18" t="s">
        <v>722</v>
      </c>
      <c r="B15" s="20">
        <v>1</v>
      </c>
      <c r="C15" s="21" t="s">
        <v>356</v>
      </c>
      <c r="D15" s="21" t="s">
        <v>355</v>
      </c>
      <c r="E15" s="21" t="s">
        <v>1433</v>
      </c>
      <c r="F15" s="22">
        <v>50814.039999999994</v>
      </c>
      <c r="G15" s="22">
        <v>50814.04</v>
      </c>
      <c r="H15" s="23">
        <v>836746.37</v>
      </c>
      <c r="I15" s="23">
        <v>54869.3</v>
      </c>
      <c r="J15" s="17"/>
    </row>
    <row r="16" spans="1:10">
      <c r="A16" s="18" t="s">
        <v>723</v>
      </c>
      <c r="B16" s="20">
        <v>1</v>
      </c>
      <c r="C16" s="21" t="s">
        <v>375</v>
      </c>
      <c r="D16" s="21" t="s">
        <v>374</v>
      </c>
      <c r="E16" s="21" t="s">
        <v>1433</v>
      </c>
      <c r="F16" s="22">
        <v>83788.399999999994</v>
      </c>
      <c r="G16" s="22">
        <v>83788.399999999994</v>
      </c>
      <c r="H16" s="23">
        <v>81695</v>
      </c>
      <c r="I16" s="23">
        <v>40575.39</v>
      </c>
      <c r="J16" s="17"/>
    </row>
    <row r="17" spans="1:10">
      <c r="A17" s="18" t="s">
        <v>724</v>
      </c>
      <c r="B17" s="20">
        <v>1</v>
      </c>
      <c r="C17" s="21" t="s">
        <v>478</v>
      </c>
      <c r="D17" s="21" t="s">
        <v>477</v>
      </c>
      <c r="E17" s="21" t="s">
        <v>1266</v>
      </c>
      <c r="F17" s="22">
        <v>294107.64</v>
      </c>
      <c r="G17" s="22">
        <v>270107.64</v>
      </c>
      <c r="H17" s="23">
        <v>1045346.1500000001</v>
      </c>
      <c r="I17" s="23">
        <v>1031978.16</v>
      </c>
      <c r="J17" s="17"/>
    </row>
    <row r="18" spans="1:10">
      <c r="A18" s="18" t="s">
        <v>725</v>
      </c>
      <c r="B18" s="20">
        <v>1</v>
      </c>
      <c r="C18" s="21" t="s">
        <v>13</v>
      </c>
      <c r="D18" s="21" t="s">
        <v>12</v>
      </c>
      <c r="E18" s="21" t="s">
        <v>1276</v>
      </c>
      <c r="F18" s="22">
        <v>1963897.3199999998</v>
      </c>
      <c r="G18" s="22">
        <v>1963897.3200000003</v>
      </c>
      <c r="H18" s="23">
        <v>573931.85</v>
      </c>
      <c r="I18" s="23">
        <v>204619.86000000002</v>
      </c>
      <c r="J18" s="17"/>
    </row>
    <row r="19" spans="1:10">
      <c r="A19" s="18" t="s">
        <v>726</v>
      </c>
      <c r="B19" s="20">
        <v>1</v>
      </c>
      <c r="C19" s="21" t="s">
        <v>258</v>
      </c>
      <c r="D19" s="21" t="s">
        <v>259</v>
      </c>
      <c r="E19" s="21" t="s">
        <v>1398</v>
      </c>
      <c r="F19" s="22">
        <v>17020.460000000003</v>
      </c>
      <c r="G19" s="22">
        <v>17020.460000000003</v>
      </c>
      <c r="H19" s="23">
        <v>1213342.5</v>
      </c>
      <c r="I19" s="23">
        <v>1213342.5</v>
      </c>
      <c r="J19" s="17"/>
    </row>
    <row r="20" spans="1:10">
      <c r="A20" s="18" t="s">
        <v>727</v>
      </c>
      <c r="B20" s="20">
        <v>1</v>
      </c>
      <c r="C20" s="21" t="s">
        <v>258</v>
      </c>
      <c r="D20" s="21" t="s">
        <v>257</v>
      </c>
      <c r="E20" s="21" t="s">
        <v>1398</v>
      </c>
      <c r="F20" s="22">
        <v>94630.939999999988</v>
      </c>
      <c r="G20" s="22">
        <v>94630.939999999988</v>
      </c>
      <c r="H20" s="23">
        <v>634977.99999999977</v>
      </c>
      <c r="I20" s="23">
        <v>71898.999999999971</v>
      </c>
      <c r="J20" s="17"/>
    </row>
    <row r="21" spans="1:10">
      <c r="A21" s="18" t="s">
        <v>728</v>
      </c>
      <c r="B21" s="20">
        <v>2</v>
      </c>
      <c r="C21" s="21" t="s">
        <v>17</v>
      </c>
      <c r="D21" s="21" t="s">
        <v>16</v>
      </c>
      <c r="E21" s="21" t="s">
        <v>1310</v>
      </c>
      <c r="F21" s="22">
        <v>1165522.83</v>
      </c>
      <c r="G21" s="22">
        <v>1165522.8299999998</v>
      </c>
      <c r="H21" s="23">
        <v>1624485.0000000002</v>
      </c>
      <c r="I21" s="23">
        <v>35906</v>
      </c>
      <c r="J21" s="17"/>
    </row>
    <row r="22" spans="1:10">
      <c r="A22" s="18" t="s">
        <v>729</v>
      </c>
      <c r="B22" s="20">
        <v>2</v>
      </c>
      <c r="C22" s="21" t="s">
        <v>7</v>
      </c>
      <c r="D22" s="21" t="s">
        <v>539</v>
      </c>
      <c r="E22" s="21" t="s">
        <v>1312</v>
      </c>
      <c r="F22" s="22">
        <v>446504.82</v>
      </c>
      <c r="G22" s="22">
        <v>446504.82</v>
      </c>
      <c r="H22" s="23">
        <v>124280.8599999999</v>
      </c>
      <c r="I22" s="23">
        <v>124280.86</v>
      </c>
      <c r="J22" s="17"/>
    </row>
    <row r="23" spans="1:10">
      <c r="A23" s="18" t="s">
        <v>730</v>
      </c>
      <c r="B23" s="20">
        <v>2</v>
      </c>
      <c r="C23" s="21" t="s">
        <v>7</v>
      </c>
      <c r="D23" s="21" t="s">
        <v>6</v>
      </c>
      <c r="E23" s="21" t="s">
        <v>1312</v>
      </c>
      <c r="F23" s="22">
        <v>215940.2</v>
      </c>
      <c r="G23" s="22">
        <v>215940.2</v>
      </c>
      <c r="H23" s="23">
        <v>268512.08</v>
      </c>
      <c r="I23" s="23">
        <v>268512.08</v>
      </c>
      <c r="J23" s="17"/>
    </row>
    <row r="24" spans="1:10">
      <c r="A24" s="18" t="s">
        <v>731</v>
      </c>
      <c r="B24" s="20">
        <v>2</v>
      </c>
      <c r="C24" s="21" t="s">
        <v>673</v>
      </c>
      <c r="D24" s="21" t="s">
        <v>672</v>
      </c>
      <c r="E24" s="21" t="s">
        <v>1332</v>
      </c>
      <c r="F24" s="22">
        <v>94000</v>
      </c>
      <c r="G24" s="22">
        <v>94000</v>
      </c>
      <c r="H24" s="23">
        <v>2993357.45</v>
      </c>
      <c r="I24" s="23">
        <v>2906594.5499999993</v>
      </c>
      <c r="J24" s="17"/>
    </row>
    <row r="25" spans="1:10">
      <c r="A25" s="18" t="s">
        <v>732</v>
      </c>
      <c r="B25" s="20">
        <v>2</v>
      </c>
      <c r="C25" s="21" t="s">
        <v>341</v>
      </c>
      <c r="D25" s="21" t="s">
        <v>340</v>
      </c>
      <c r="E25" s="21" t="s">
        <v>1333</v>
      </c>
      <c r="F25" s="22">
        <v>186240</v>
      </c>
      <c r="G25" s="22">
        <v>139040</v>
      </c>
      <c r="H25" s="23">
        <v>1000</v>
      </c>
      <c r="I25" s="23">
        <v>1000</v>
      </c>
      <c r="J25" s="17"/>
    </row>
    <row r="26" spans="1:10">
      <c r="A26" s="18" t="s">
        <v>734</v>
      </c>
      <c r="B26" s="20">
        <v>2</v>
      </c>
      <c r="C26" s="21" t="s">
        <v>464</v>
      </c>
      <c r="D26" s="21" t="s">
        <v>463</v>
      </c>
      <c r="E26" s="21" t="s">
        <v>1360</v>
      </c>
      <c r="F26" s="22">
        <v>70526.659999999989</v>
      </c>
      <c r="G26" s="22">
        <v>70526.66</v>
      </c>
      <c r="H26" s="23">
        <v>1000</v>
      </c>
      <c r="I26" s="23">
        <v>1000</v>
      </c>
      <c r="J26" s="17"/>
    </row>
    <row r="27" spans="1:10">
      <c r="A27" s="18" t="s">
        <v>736</v>
      </c>
      <c r="B27" s="20">
        <v>2</v>
      </c>
      <c r="C27" s="21" t="s">
        <v>537</v>
      </c>
      <c r="D27" s="21" t="s">
        <v>536</v>
      </c>
      <c r="E27" s="21" t="s">
        <v>1360</v>
      </c>
      <c r="F27" s="22">
        <v>47500</v>
      </c>
      <c r="G27" s="22">
        <v>47500</v>
      </c>
      <c r="H27" s="23">
        <v>2000</v>
      </c>
      <c r="I27" s="23">
        <v>2000</v>
      </c>
      <c r="J27" s="17"/>
    </row>
    <row r="28" spans="1:10">
      <c r="A28" s="18" t="s">
        <v>737</v>
      </c>
      <c r="B28" s="20">
        <v>2</v>
      </c>
      <c r="C28" s="21" t="s">
        <v>269</v>
      </c>
      <c r="D28" s="21" t="s">
        <v>516</v>
      </c>
      <c r="E28" s="21" t="s">
        <v>1360</v>
      </c>
      <c r="F28" s="22">
        <v>2200979.5500000007</v>
      </c>
      <c r="G28" s="22">
        <v>2200979.5500000003</v>
      </c>
      <c r="H28" s="23">
        <v>1500</v>
      </c>
      <c r="I28" s="23">
        <v>0</v>
      </c>
      <c r="J28" s="17"/>
    </row>
    <row r="29" spans="1:10">
      <c r="A29" s="18" t="s">
        <v>739</v>
      </c>
      <c r="B29" s="20">
        <v>3</v>
      </c>
      <c r="C29" s="21" t="s">
        <v>382</v>
      </c>
      <c r="D29" s="21" t="s">
        <v>381</v>
      </c>
      <c r="E29" s="21" t="s">
        <v>1268</v>
      </c>
      <c r="F29" s="22">
        <v>146786.34</v>
      </c>
      <c r="G29" s="22">
        <v>146786.34</v>
      </c>
      <c r="H29" s="23">
        <v>1000</v>
      </c>
      <c r="I29" s="23">
        <v>0</v>
      </c>
      <c r="J29" s="17"/>
    </row>
    <row r="30" spans="1:10">
      <c r="A30" s="18" t="s">
        <v>740</v>
      </c>
      <c r="B30" s="20">
        <v>3</v>
      </c>
      <c r="C30" s="21" t="s">
        <v>494</v>
      </c>
      <c r="D30" s="21" t="s">
        <v>493</v>
      </c>
      <c r="E30" s="21" t="s">
        <v>1274</v>
      </c>
      <c r="F30" s="22">
        <v>73186.78</v>
      </c>
      <c r="G30" s="22">
        <v>73186.78</v>
      </c>
      <c r="H30" s="23">
        <v>900</v>
      </c>
      <c r="I30" s="23">
        <v>0</v>
      </c>
      <c r="J30" s="17"/>
    </row>
    <row r="31" spans="1:10">
      <c r="A31" s="18" t="s">
        <v>741</v>
      </c>
      <c r="B31" s="20">
        <v>3</v>
      </c>
      <c r="C31" s="21" t="s">
        <v>206</v>
      </c>
      <c r="D31" s="21" t="s">
        <v>205</v>
      </c>
      <c r="E31" s="21" t="s">
        <v>1309</v>
      </c>
      <c r="F31" s="22">
        <v>47611.25</v>
      </c>
      <c r="G31" s="22">
        <v>47611.25</v>
      </c>
      <c r="H31" s="23">
        <v>974043.06</v>
      </c>
      <c r="I31" s="23">
        <v>884104.71</v>
      </c>
      <c r="J31" s="17"/>
    </row>
    <row r="32" spans="1:10">
      <c r="A32" s="18" t="s">
        <v>742</v>
      </c>
      <c r="B32" s="20">
        <v>3</v>
      </c>
      <c r="C32" s="21" t="s">
        <v>188</v>
      </c>
      <c r="D32" s="21" t="s">
        <v>187</v>
      </c>
      <c r="E32" s="21" t="s">
        <v>1314</v>
      </c>
      <c r="F32" s="22">
        <v>47611.25</v>
      </c>
      <c r="G32" s="22">
        <v>47611.25</v>
      </c>
      <c r="H32" s="23">
        <v>1500</v>
      </c>
      <c r="I32" s="23">
        <v>925</v>
      </c>
      <c r="J32" s="17"/>
    </row>
    <row r="33" spans="1:10">
      <c r="A33" s="18" t="s">
        <v>743</v>
      </c>
      <c r="B33" s="20">
        <v>3</v>
      </c>
      <c r="C33" s="21" t="s">
        <v>192</v>
      </c>
      <c r="D33" s="21" t="s">
        <v>191</v>
      </c>
      <c r="E33" s="21" t="s">
        <v>1311</v>
      </c>
      <c r="F33" s="22">
        <v>50730.000000000015</v>
      </c>
      <c r="G33" s="22">
        <v>50730</v>
      </c>
      <c r="H33" s="23">
        <v>34530</v>
      </c>
      <c r="I33" s="23">
        <v>30248.720000000001</v>
      </c>
      <c r="J33" s="17"/>
    </row>
    <row r="34" spans="1:10">
      <c r="A34" s="18" t="s">
        <v>744</v>
      </c>
      <c r="B34" s="20">
        <v>3</v>
      </c>
      <c r="C34" s="21" t="s">
        <v>190</v>
      </c>
      <c r="D34" s="21" t="s">
        <v>189</v>
      </c>
      <c r="E34" s="21" t="s">
        <v>1313</v>
      </c>
      <c r="F34" s="22">
        <v>50730.000000000022</v>
      </c>
      <c r="G34" s="22">
        <v>50729.999999999993</v>
      </c>
      <c r="H34" s="23">
        <v>15146</v>
      </c>
      <c r="I34" s="23">
        <v>15146</v>
      </c>
      <c r="J34" s="17"/>
    </row>
    <row r="35" spans="1:10">
      <c r="A35" s="18" t="s">
        <v>745</v>
      </c>
      <c r="B35" s="20">
        <v>3</v>
      </c>
      <c r="C35" s="21" t="s">
        <v>29</v>
      </c>
      <c r="D35" s="21" t="s">
        <v>70</v>
      </c>
      <c r="E35" s="21" t="s">
        <v>1357</v>
      </c>
      <c r="F35" s="22">
        <v>11004.1</v>
      </c>
      <c r="G35" s="22">
        <v>11004.099999999999</v>
      </c>
      <c r="H35" s="23">
        <v>15146</v>
      </c>
      <c r="I35" s="23">
        <v>15146</v>
      </c>
      <c r="J35" s="17"/>
    </row>
    <row r="36" spans="1:10">
      <c r="A36" s="18" t="s">
        <v>746</v>
      </c>
      <c r="B36" s="20">
        <v>3</v>
      </c>
      <c r="C36" s="21" t="s">
        <v>29</v>
      </c>
      <c r="D36" s="21" t="s">
        <v>28</v>
      </c>
      <c r="E36" s="21" t="s">
        <v>1357</v>
      </c>
      <c r="F36" s="22">
        <v>276539.25</v>
      </c>
      <c r="G36" s="22">
        <v>276539.25000000006</v>
      </c>
      <c r="H36" s="23">
        <v>25261</v>
      </c>
      <c r="I36" s="23">
        <v>25261</v>
      </c>
      <c r="J36" s="17"/>
    </row>
    <row r="37" spans="1:10">
      <c r="A37" s="18" t="s">
        <v>748</v>
      </c>
      <c r="B37" s="20">
        <v>3</v>
      </c>
      <c r="C37" s="21" t="s">
        <v>115</v>
      </c>
      <c r="D37" s="21" t="s">
        <v>114</v>
      </c>
      <c r="E37" s="21" t="s">
        <v>1359</v>
      </c>
      <c r="F37" s="22">
        <v>50715.909999999989</v>
      </c>
      <c r="G37" s="22">
        <v>50715.91</v>
      </c>
      <c r="H37" s="23">
        <v>48370</v>
      </c>
      <c r="I37" s="23">
        <v>48370</v>
      </c>
      <c r="J37" s="17"/>
    </row>
    <row r="38" spans="1:10">
      <c r="A38" s="18" t="s">
        <v>749</v>
      </c>
      <c r="B38" s="20">
        <v>3</v>
      </c>
      <c r="C38" s="21" t="s">
        <v>117</v>
      </c>
      <c r="D38" s="21" t="s">
        <v>116</v>
      </c>
      <c r="E38" s="21" t="s">
        <v>1349</v>
      </c>
      <c r="F38" s="22">
        <v>50217.59</v>
      </c>
      <c r="G38" s="22">
        <v>50217.590000000004</v>
      </c>
      <c r="H38" s="23">
        <v>72807.649999999994</v>
      </c>
      <c r="I38" s="23">
        <v>72807.649999999994</v>
      </c>
      <c r="J38" s="17"/>
    </row>
    <row r="39" spans="1:10">
      <c r="A39" s="18" t="s">
        <v>750</v>
      </c>
      <c r="B39" s="20">
        <v>3</v>
      </c>
      <c r="C39" s="21" t="s">
        <v>509</v>
      </c>
      <c r="D39" s="21" t="s">
        <v>508</v>
      </c>
      <c r="E39" s="21" t="s">
        <v>1355</v>
      </c>
      <c r="F39" s="22">
        <v>51981</v>
      </c>
      <c r="G39" s="22">
        <v>51981</v>
      </c>
      <c r="H39" s="23">
        <v>2860</v>
      </c>
      <c r="I39" s="23">
        <v>2860</v>
      </c>
      <c r="J39" s="17"/>
    </row>
    <row r="40" spans="1:10">
      <c r="A40" s="18" t="s">
        <v>751</v>
      </c>
      <c r="B40" s="20">
        <v>3</v>
      </c>
      <c r="C40" s="21" t="s">
        <v>3</v>
      </c>
      <c r="D40" s="21" t="s">
        <v>2</v>
      </c>
      <c r="E40" s="21" t="s">
        <v>1350</v>
      </c>
      <c r="F40" s="22">
        <v>35597</v>
      </c>
      <c r="G40" s="22">
        <v>35597</v>
      </c>
      <c r="H40" s="23">
        <v>18100</v>
      </c>
      <c r="I40" s="23">
        <v>15369</v>
      </c>
      <c r="J40" s="17"/>
    </row>
    <row r="41" spans="1:10">
      <c r="A41" s="18" t="s">
        <v>752</v>
      </c>
      <c r="B41" s="20">
        <v>3</v>
      </c>
      <c r="C41" s="21" t="s">
        <v>3</v>
      </c>
      <c r="D41" s="21" t="s">
        <v>648</v>
      </c>
      <c r="E41" s="21" t="s">
        <v>1350</v>
      </c>
      <c r="F41" s="22">
        <v>28549</v>
      </c>
      <c r="G41" s="22">
        <v>28549</v>
      </c>
      <c r="H41" s="23">
        <v>27375</v>
      </c>
      <c r="I41" s="23">
        <v>27375</v>
      </c>
      <c r="J41" s="17"/>
    </row>
    <row r="42" spans="1:10">
      <c r="A42" s="18" t="s">
        <v>753</v>
      </c>
      <c r="B42" s="20">
        <v>3</v>
      </c>
      <c r="C42" s="21" t="s">
        <v>85</v>
      </c>
      <c r="D42" s="21" t="s">
        <v>84</v>
      </c>
      <c r="E42" s="21" t="s">
        <v>1351</v>
      </c>
      <c r="F42" s="22">
        <v>1139993.3900000001</v>
      </c>
      <c r="G42" s="22">
        <v>1139993.3900000001</v>
      </c>
      <c r="H42" s="23">
        <v>1000</v>
      </c>
      <c r="I42" s="23">
        <v>0</v>
      </c>
      <c r="J42" s="17"/>
    </row>
    <row r="43" spans="1:10">
      <c r="A43" s="18" t="s">
        <v>754</v>
      </c>
      <c r="B43" s="20">
        <v>3</v>
      </c>
      <c r="C43" s="21" t="s">
        <v>85</v>
      </c>
      <c r="D43" s="21" t="s">
        <v>138</v>
      </c>
      <c r="E43" s="21" t="s">
        <v>1351</v>
      </c>
      <c r="F43" s="22">
        <v>979859.4</v>
      </c>
      <c r="G43" s="22">
        <v>979859.4</v>
      </c>
      <c r="H43" s="23">
        <v>1870214.0099999998</v>
      </c>
      <c r="I43" s="23">
        <v>1729037.79</v>
      </c>
      <c r="J43" s="17"/>
    </row>
    <row r="44" spans="1:10">
      <c r="A44" s="18" t="s">
        <v>755</v>
      </c>
      <c r="B44" s="20">
        <v>3</v>
      </c>
      <c r="C44" s="21" t="s">
        <v>85</v>
      </c>
      <c r="D44" s="21" t="s">
        <v>94</v>
      </c>
      <c r="E44" s="21" t="s">
        <v>1351</v>
      </c>
      <c r="F44" s="22">
        <v>147522.26</v>
      </c>
      <c r="G44" s="22">
        <v>147522.26</v>
      </c>
      <c r="H44" s="23">
        <v>4535</v>
      </c>
      <c r="I44" s="23">
        <v>4535</v>
      </c>
      <c r="J44" s="17"/>
    </row>
    <row r="45" spans="1:10">
      <c r="A45" s="18" t="s">
        <v>756</v>
      </c>
      <c r="B45" s="20">
        <v>3</v>
      </c>
      <c r="C45" s="21" t="s">
        <v>85</v>
      </c>
      <c r="D45" s="21" t="s">
        <v>103</v>
      </c>
      <c r="E45" s="21" t="s">
        <v>1351</v>
      </c>
      <c r="F45" s="22">
        <v>780510.56</v>
      </c>
      <c r="G45" s="22">
        <v>780510.56</v>
      </c>
      <c r="H45" s="23">
        <v>12970</v>
      </c>
      <c r="I45" s="23">
        <v>3240</v>
      </c>
      <c r="J45" s="17"/>
    </row>
    <row r="46" spans="1:10">
      <c r="A46" s="18" t="s">
        <v>757</v>
      </c>
      <c r="B46" s="20">
        <v>3</v>
      </c>
      <c r="C46" s="21" t="s">
        <v>113</v>
      </c>
      <c r="D46" s="21" t="s">
        <v>112</v>
      </c>
      <c r="E46" s="21" t="s">
        <v>1354</v>
      </c>
      <c r="F46" s="22">
        <v>155949.57</v>
      </c>
      <c r="G46" s="22">
        <v>155949.57</v>
      </c>
      <c r="H46" s="23">
        <v>1420896.0100000002</v>
      </c>
      <c r="I46" s="23">
        <v>536734.28</v>
      </c>
      <c r="J46" s="17"/>
    </row>
    <row r="47" spans="1:10">
      <c r="A47" s="18" t="s">
        <v>758</v>
      </c>
      <c r="B47" s="20">
        <v>3</v>
      </c>
      <c r="C47" s="21" t="s">
        <v>462</v>
      </c>
      <c r="D47" s="21" t="s">
        <v>669</v>
      </c>
      <c r="E47" s="21" t="s">
        <v>1352</v>
      </c>
      <c r="F47" s="22">
        <v>312487.19999999995</v>
      </c>
      <c r="G47" s="22">
        <v>312487.2</v>
      </c>
      <c r="H47" s="23">
        <v>81245.490000000005</v>
      </c>
      <c r="I47" s="23">
        <v>81245.490000000005</v>
      </c>
      <c r="J47" s="17"/>
    </row>
    <row r="48" spans="1:10">
      <c r="A48" s="18" t="s">
        <v>759</v>
      </c>
      <c r="B48" s="20">
        <v>3</v>
      </c>
      <c r="C48" s="21" t="s">
        <v>462</v>
      </c>
      <c r="D48" s="21" t="s">
        <v>497</v>
      </c>
      <c r="E48" s="21" t="s">
        <v>1352</v>
      </c>
      <c r="F48" s="22">
        <v>36993.149999999994</v>
      </c>
      <c r="G48" s="22">
        <v>36993.15</v>
      </c>
      <c r="H48" s="23">
        <v>203859</v>
      </c>
      <c r="I48" s="23">
        <v>203859</v>
      </c>
      <c r="J48" s="17"/>
    </row>
    <row r="49" spans="1:10">
      <c r="A49" s="18" t="s">
        <v>760</v>
      </c>
      <c r="B49" s="20">
        <v>3</v>
      </c>
      <c r="C49" s="21" t="s">
        <v>427</v>
      </c>
      <c r="D49" s="21" t="s">
        <v>668</v>
      </c>
      <c r="E49" s="21" t="s">
        <v>1352</v>
      </c>
      <c r="F49" s="22">
        <v>212199.28000000003</v>
      </c>
      <c r="G49" s="22">
        <v>212199.27999999997</v>
      </c>
      <c r="H49" s="23">
        <v>1361203.6900000006</v>
      </c>
      <c r="I49" s="23">
        <v>1361203.69</v>
      </c>
      <c r="J49" s="17"/>
    </row>
    <row r="50" spans="1:10">
      <c r="A50" s="18" t="s">
        <v>761</v>
      </c>
      <c r="B50" s="20">
        <v>3</v>
      </c>
      <c r="C50" s="21" t="s">
        <v>427</v>
      </c>
      <c r="D50" s="21" t="s">
        <v>426</v>
      </c>
      <c r="E50" s="21" t="s">
        <v>1352</v>
      </c>
      <c r="F50" s="22">
        <v>36993.149999999994</v>
      </c>
      <c r="G50" s="22">
        <v>36993.15</v>
      </c>
      <c r="H50" s="23">
        <v>562601.29999999993</v>
      </c>
      <c r="I50" s="23">
        <v>562601.30000000005</v>
      </c>
      <c r="J50" s="17"/>
    </row>
    <row r="51" spans="1:10">
      <c r="A51" s="18" t="s">
        <v>763</v>
      </c>
      <c r="B51" s="20">
        <v>3</v>
      </c>
      <c r="C51" s="21" t="s">
        <v>462</v>
      </c>
      <c r="D51" s="21" t="s">
        <v>461</v>
      </c>
      <c r="E51" s="21" t="s">
        <v>1353</v>
      </c>
      <c r="F51" s="22">
        <v>2634489.6199999996</v>
      </c>
      <c r="G51" s="22">
        <v>2609324.62</v>
      </c>
      <c r="H51" s="23">
        <v>1583243.3800000001</v>
      </c>
      <c r="I51" s="23">
        <v>1583243.38</v>
      </c>
      <c r="J51" s="17"/>
    </row>
    <row r="52" spans="1:10">
      <c r="A52" s="18" t="s">
        <v>764</v>
      </c>
      <c r="B52" s="20">
        <v>3</v>
      </c>
      <c r="C52" s="21" t="s">
        <v>267</v>
      </c>
      <c r="D52" s="21" t="s">
        <v>266</v>
      </c>
      <c r="E52" s="21" t="s">
        <v>1356</v>
      </c>
      <c r="F52" s="22">
        <v>1483092.13</v>
      </c>
      <c r="G52" s="22">
        <v>1483092.1300000004</v>
      </c>
      <c r="H52" s="23">
        <v>1854415.73</v>
      </c>
      <c r="I52" s="23">
        <v>1854415.73</v>
      </c>
      <c r="J52" s="17"/>
    </row>
    <row r="53" spans="1:10">
      <c r="A53" s="18" t="s">
        <v>765</v>
      </c>
      <c r="B53" s="20">
        <v>3</v>
      </c>
      <c r="C53" s="21" t="s">
        <v>267</v>
      </c>
      <c r="D53" s="21" t="s">
        <v>270</v>
      </c>
      <c r="E53" s="21" t="s">
        <v>1356</v>
      </c>
      <c r="F53" s="22">
        <v>378209</v>
      </c>
      <c r="G53" s="22">
        <v>378209</v>
      </c>
      <c r="H53" s="23">
        <v>506399.42000000016</v>
      </c>
      <c r="I53" s="23">
        <v>506399.42</v>
      </c>
      <c r="J53" s="17"/>
    </row>
    <row r="54" spans="1:10">
      <c r="A54" s="18" t="s">
        <v>766</v>
      </c>
      <c r="B54" s="20">
        <v>3</v>
      </c>
      <c r="C54" s="21" t="s">
        <v>265</v>
      </c>
      <c r="D54" s="21" t="s">
        <v>264</v>
      </c>
      <c r="E54" s="21" t="s">
        <v>1356</v>
      </c>
      <c r="F54" s="22">
        <v>67618</v>
      </c>
      <c r="G54" s="22">
        <v>67618</v>
      </c>
      <c r="H54" s="23">
        <v>400035.49999999994</v>
      </c>
      <c r="I54" s="23">
        <v>400035.5</v>
      </c>
      <c r="J54" s="17"/>
    </row>
    <row r="55" spans="1:10">
      <c r="A55" s="18" t="s">
        <v>767</v>
      </c>
      <c r="B55" s="20">
        <v>3</v>
      </c>
      <c r="C55" s="21" t="s">
        <v>265</v>
      </c>
      <c r="D55" s="21" t="s">
        <v>268</v>
      </c>
      <c r="E55" s="21" t="s">
        <v>1356</v>
      </c>
      <c r="F55" s="22">
        <v>7744</v>
      </c>
      <c r="G55" s="22">
        <v>7744</v>
      </c>
      <c r="H55" s="23">
        <v>1247644.27</v>
      </c>
      <c r="I55" s="23">
        <v>1247644.27</v>
      </c>
      <c r="J55" s="17"/>
    </row>
    <row r="56" spans="1:10">
      <c r="A56" s="18" t="s">
        <v>768</v>
      </c>
      <c r="B56" s="20">
        <v>3</v>
      </c>
      <c r="C56" s="21" t="s">
        <v>150</v>
      </c>
      <c r="D56" s="21" t="s">
        <v>149</v>
      </c>
      <c r="E56" s="21" t="s">
        <v>1391</v>
      </c>
      <c r="F56" s="22">
        <v>677954.74999999988</v>
      </c>
      <c r="G56" s="22">
        <v>677954.75</v>
      </c>
      <c r="H56" s="23">
        <v>286062</v>
      </c>
      <c r="I56" s="23">
        <v>286062</v>
      </c>
      <c r="J56" s="17"/>
    </row>
    <row r="57" spans="1:10">
      <c r="A57" s="18" t="s">
        <v>769</v>
      </c>
      <c r="B57" s="20">
        <v>3</v>
      </c>
      <c r="C57" s="21" t="s">
        <v>89</v>
      </c>
      <c r="D57" s="21" t="s">
        <v>88</v>
      </c>
      <c r="E57" s="21" t="s">
        <v>1397</v>
      </c>
      <c r="F57" s="22">
        <v>706550.74</v>
      </c>
      <c r="G57" s="22">
        <v>706550.74</v>
      </c>
      <c r="H57" s="23">
        <v>2226853.5299999993</v>
      </c>
      <c r="I57" s="23">
        <v>2226853.5300000003</v>
      </c>
      <c r="J57" s="17"/>
    </row>
    <row r="58" spans="1:10">
      <c r="A58" s="18" t="s">
        <v>770</v>
      </c>
      <c r="B58" s="20">
        <v>3</v>
      </c>
      <c r="C58" s="21" t="s">
        <v>74</v>
      </c>
      <c r="D58" s="21" t="s">
        <v>73</v>
      </c>
      <c r="E58" s="21" t="s">
        <v>1392</v>
      </c>
      <c r="F58" s="22">
        <v>1559001.33</v>
      </c>
      <c r="G58" s="22">
        <v>1559001.33</v>
      </c>
      <c r="H58" s="23">
        <v>248029</v>
      </c>
      <c r="I58" s="23">
        <v>248029</v>
      </c>
      <c r="J58" s="17"/>
    </row>
    <row r="59" spans="1:10">
      <c r="A59" s="18" t="s">
        <v>771</v>
      </c>
      <c r="B59" s="20">
        <v>3</v>
      </c>
      <c r="C59" s="21" t="s">
        <v>655</v>
      </c>
      <c r="D59" s="21" t="s">
        <v>654</v>
      </c>
      <c r="E59" s="21" t="s">
        <v>1393</v>
      </c>
      <c r="F59" s="22">
        <v>406539.60999999993</v>
      </c>
      <c r="G59" s="22">
        <v>406539.61000000004</v>
      </c>
      <c r="H59" s="23">
        <v>92968.56</v>
      </c>
      <c r="I59" s="23">
        <v>92968.56</v>
      </c>
      <c r="J59" s="17"/>
    </row>
    <row r="60" spans="1:10">
      <c r="A60" s="18" t="s">
        <v>773</v>
      </c>
      <c r="B60" s="20">
        <v>3</v>
      </c>
      <c r="C60" s="21" t="s">
        <v>409</v>
      </c>
      <c r="D60" s="21" t="s">
        <v>408</v>
      </c>
      <c r="E60" s="21" t="s">
        <v>1394</v>
      </c>
      <c r="F60" s="22">
        <v>2481472.12</v>
      </c>
      <c r="G60" s="22">
        <v>557833.0900000002</v>
      </c>
      <c r="H60" s="23">
        <v>322613.74000000011</v>
      </c>
      <c r="I60" s="23">
        <v>322613.74</v>
      </c>
      <c r="J60" s="17"/>
    </row>
    <row r="61" spans="1:10">
      <c r="A61" s="18" t="s">
        <v>774</v>
      </c>
      <c r="B61" s="20">
        <v>3</v>
      </c>
      <c r="C61" s="21" t="s">
        <v>409</v>
      </c>
      <c r="D61" s="21" t="s">
        <v>490</v>
      </c>
      <c r="E61" s="21" t="s">
        <v>1394</v>
      </c>
      <c r="F61" s="22">
        <v>1169159.3999999999</v>
      </c>
      <c r="G61" s="22">
        <v>1035700.82</v>
      </c>
      <c r="H61" s="23">
        <v>86914.78</v>
      </c>
      <c r="I61" s="23">
        <v>69345.440000000002</v>
      </c>
      <c r="J61" s="17"/>
    </row>
    <row r="62" spans="1:10">
      <c r="A62" s="18" t="s">
        <v>775</v>
      </c>
      <c r="B62" s="20">
        <v>3</v>
      </c>
      <c r="C62" s="21" t="s">
        <v>15</v>
      </c>
      <c r="D62" s="21" t="s">
        <v>218</v>
      </c>
      <c r="E62" s="21" t="s">
        <v>1416</v>
      </c>
      <c r="F62" s="22">
        <v>549226.47</v>
      </c>
      <c r="G62" s="22">
        <v>549226.46999999986</v>
      </c>
      <c r="H62" s="23">
        <v>19531</v>
      </c>
      <c r="I62" s="23">
        <v>450</v>
      </c>
      <c r="J62" s="17"/>
    </row>
    <row r="63" spans="1:10">
      <c r="A63" s="18" t="s">
        <v>776</v>
      </c>
      <c r="B63" s="20">
        <v>3</v>
      </c>
      <c r="C63" s="21" t="s">
        <v>15</v>
      </c>
      <c r="D63" s="21" t="s">
        <v>14</v>
      </c>
      <c r="E63" s="21" t="s">
        <v>1417</v>
      </c>
      <c r="F63" s="22">
        <v>569926</v>
      </c>
      <c r="G63" s="22">
        <v>569926</v>
      </c>
      <c r="H63" s="23">
        <v>74212</v>
      </c>
      <c r="I63" s="23">
        <v>0</v>
      </c>
      <c r="J63" s="17"/>
    </row>
    <row r="64" spans="1:10">
      <c r="A64" s="18" t="s">
        <v>777</v>
      </c>
      <c r="B64" s="20">
        <v>3</v>
      </c>
      <c r="C64" s="21" t="s">
        <v>647</v>
      </c>
      <c r="D64" s="21" t="s">
        <v>646</v>
      </c>
      <c r="E64" s="21" t="s">
        <v>1426</v>
      </c>
      <c r="F64" s="22">
        <v>535903</v>
      </c>
      <c r="G64" s="22">
        <v>190850.27999999997</v>
      </c>
      <c r="H64" s="23">
        <v>102925</v>
      </c>
      <c r="I64" s="23">
        <v>0</v>
      </c>
      <c r="J64" s="17"/>
    </row>
    <row r="65" spans="1:10">
      <c r="A65" s="18" t="s">
        <v>778</v>
      </c>
      <c r="B65" s="20">
        <v>3</v>
      </c>
      <c r="C65" s="21" t="s">
        <v>249</v>
      </c>
      <c r="D65" s="21" t="s">
        <v>248</v>
      </c>
      <c r="E65" s="21" t="s">
        <v>1418</v>
      </c>
      <c r="F65" s="22">
        <v>411961.4600000002</v>
      </c>
      <c r="G65" s="22">
        <v>411961.4599999999</v>
      </c>
      <c r="H65" s="23">
        <v>9486448.0000000019</v>
      </c>
      <c r="I65" s="23">
        <v>9416218.3399999943</v>
      </c>
      <c r="J65" s="17"/>
    </row>
    <row r="66" spans="1:10">
      <c r="A66" s="18" t="s">
        <v>779</v>
      </c>
      <c r="B66" s="20">
        <v>3</v>
      </c>
      <c r="C66" s="21" t="s">
        <v>60</v>
      </c>
      <c r="D66" s="21" t="s">
        <v>59</v>
      </c>
      <c r="E66" s="21" t="s">
        <v>1419</v>
      </c>
      <c r="F66" s="22">
        <v>655646.65000000014</v>
      </c>
      <c r="G66" s="22">
        <v>655646.65000000014</v>
      </c>
      <c r="H66" s="23">
        <v>2387896.069999997</v>
      </c>
      <c r="I66" s="23">
        <v>2300590.34</v>
      </c>
      <c r="J66" s="17"/>
    </row>
    <row r="67" spans="1:10">
      <c r="A67" s="18" t="s">
        <v>780</v>
      </c>
      <c r="B67" s="20">
        <v>4</v>
      </c>
      <c r="C67" s="21" t="s">
        <v>469</v>
      </c>
      <c r="D67" s="21" t="s">
        <v>468</v>
      </c>
      <c r="E67" s="21" t="s">
        <v>1147</v>
      </c>
      <c r="F67" s="22">
        <v>543669.83000000007</v>
      </c>
      <c r="G67" s="22">
        <v>543669.83000000007</v>
      </c>
      <c r="H67" s="23">
        <v>39614</v>
      </c>
      <c r="I67" s="23">
        <v>6735.5</v>
      </c>
      <c r="J67" s="17"/>
    </row>
    <row r="68" spans="1:10">
      <c r="A68" s="18" t="s">
        <v>781</v>
      </c>
      <c r="B68" s="20">
        <v>4</v>
      </c>
      <c r="C68" s="21" t="s">
        <v>469</v>
      </c>
      <c r="D68" s="21" t="s">
        <v>638</v>
      </c>
      <c r="E68" s="21" t="s">
        <v>1147</v>
      </c>
      <c r="F68" s="22">
        <v>63616.850000000006</v>
      </c>
      <c r="G68" s="22">
        <v>59993.850000000006</v>
      </c>
      <c r="H68" s="23">
        <v>199760.56</v>
      </c>
      <c r="I68" s="23">
        <v>8289.9</v>
      </c>
      <c r="J68" s="17"/>
    </row>
    <row r="69" spans="1:10">
      <c r="A69" s="18" t="s">
        <v>782</v>
      </c>
      <c r="B69" s="20">
        <v>4</v>
      </c>
      <c r="C69" s="21" t="s">
        <v>298</v>
      </c>
      <c r="D69" s="21" t="s">
        <v>621</v>
      </c>
      <c r="E69" s="21" t="s">
        <v>1149</v>
      </c>
      <c r="F69" s="22">
        <v>878911</v>
      </c>
      <c r="G69" s="22">
        <v>822211.49999999977</v>
      </c>
      <c r="H69" s="23">
        <v>26383</v>
      </c>
      <c r="I69" s="23">
        <v>7877.2</v>
      </c>
      <c r="J69" s="17"/>
    </row>
    <row r="70" spans="1:10">
      <c r="A70" s="18" t="s">
        <v>783</v>
      </c>
      <c r="B70" s="20">
        <v>4</v>
      </c>
      <c r="C70" s="21" t="s">
        <v>298</v>
      </c>
      <c r="D70" s="21" t="s">
        <v>297</v>
      </c>
      <c r="E70" s="21" t="s">
        <v>1149</v>
      </c>
      <c r="F70" s="22">
        <v>68985.149999999994</v>
      </c>
      <c r="G70" s="22">
        <v>65404.020000000004</v>
      </c>
      <c r="H70" s="23">
        <v>859835</v>
      </c>
      <c r="I70" s="23">
        <v>859835</v>
      </c>
      <c r="J70" s="17"/>
    </row>
    <row r="71" spans="1:10">
      <c r="A71" s="18" t="s">
        <v>784</v>
      </c>
      <c r="B71" s="20">
        <v>4</v>
      </c>
      <c r="C71" s="21" t="s">
        <v>292</v>
      </c>
      <c r="D71" s="21" t="s">
        <v>555</v>
      </c>
      <c r="E71" s="21" t="s">
        <v>1148</v>
      </c>
      <c r="F71" s="22">
        <v>459191.96999999986</v>
      </c>
      <c r="G71" s="22">
        <v>382245.73</v>
      </c>
      <c r="H71" s="23">
        <v>109605</v>
      </c>
      <c r="I71" s="23">
        <v>22524</v>
      </c>
      <c r="J71" s="17"/>
    </row>
    <row r="72" spans="1:10">
      <c r="A72" s="18" t="s">
        <v>785</v>
      </c>
      <c r="B72" s="20">
        <v>4</v>
      </c>
      <c r="C72" s="21" t="s">
        <v>292</v>
      </c>
      <c r="D72" s="21" t="s">
        <v>291</v>
      </c>
      <c r="E72" s="21" t="s">
        <v>1148</v>
      </c>
      <c r="F72" s="22">
        <v>67357.72</v>
      </c>
      <c r="G72" s="22">
        <v>55734.07</v>
      </c>
      <c r="H72" s="23">
        <v>27739</v>
      </c>
      <c r="I72" s="23">
        <v>25049</v>
      </c>
      <c r="J72" s="17"/>
    </row>
    <row r="73" spans="1:10">
      <c r="A73" s="18" t="s">
        <v>787</v>
      </c>
      <c r="B73" s="20">
        <v>4</v>
      </c>
      <c r="C73" s="21" t="s">
        <v>278</v>
      </c>
      <c r="D73" s="21" t="s">
        <v>277</v>
      </c>
      <c r="E73" s="21" t="s">
        <v>1225</v>
      </c>
      <c r="F73" s="22">
        <v>83954.05</v>
      </c>
      <c r="G73" s="22">
        <v>81795.05</v>
      </c>
      <c r="H73" s="23">
        <v>26888</v>
      </c>
      <c r="I73" s="23">
        <v>24198</v>
      </c>
      <c r="J73" s="17"/>
    </row>
    <row r="74" spans="1:10">
      <c r="A74" s="18" t="s">
        <v>788</v>
      </c>
      <c r="B74" s="20">
        <v>4</v>
      </c>
      <c r="C74" s="21" t="s">
        <v>391</v>
      </c>
      <c r="D74" s="21" t="s">
        <v>449</v>
      </c>
      <c r="E74" s="21" t="s">
        <v>1216</v>
      </c>
      <c r="F74" s="22">
        <v>87225</v>
      </c>
      <c r="G74" s="22">
        <v>86018</v>
      </c>
      <c r="H74" s="23">
        <v>44040</v>
      </c>
      <c r="I74" s="23">
        <v>4400</v>
      </c>
      <c r="J74" s="17"/>
    </row>
    <row r="75" spans="1:10">
      <c r="A75" s="18" t="s">
        <v>790</v>
      </c>
      <c r="B75" s="20">
        <v>4</v>
      </c>
      <c r="C75" s="21" t="s">
        <v>391</v>
      </c>
      <c r="D75" s="21" t="s">
        <v>390</v>
      </c>
      <c r="E75" s="21" t="s">
        <v>1216</v>
      </c>
      <c r="F75" s="22">
        <v>806934.64</v>
      </c>
      <c r="G75" s="22">
        <v>806934.6399999999</v>
      </c>
      <c r="H75" s="23">
        <v>47400</v>
      </c>
      <c r="I75" s="23">
        <v>4500</v>
      </c>
      <c r="J75" s="17"/>
    </row>
    <row r="76" spans="1:10">
      <c r="A76" s="18" t="s">
        <v>791</v>
      </c>
      <c r="B76" s="20">
        <v>4</v>
      </c>
      <c r="C76" s="21" t="s">
        <v>109</v>
      </c>
      <c r="D76" s="21" t="s">
        <v>108</v>
      </c>
      <c r="E76" s="21" t="s">
        <v>1222</v>
      </c>
      <c r="F76" s="22">
        <v>1331118.17</v>
      </c>
      <c r="G76" s="22">
        <v>1331118.17</v>
      </c>
      <c r="H76" s="23">
        <v>30574</v>
      </c>
      <c r="I76" s="23">
        <v>4200</v>
      </c>
      <c r="J76" s="17"/>
    </row>
    <row r="77" spans="1:10">
      <c r="A77" s="18" t="s">
        <v>792</v>
      </c>
      <c r="B77" s="20">
        <v>4</v>
      </c>
      <c r="C77" s="21" t="s">
        <v>109</v>
      </c>
      <c r="D77" s="21" t="s">
        <v>290</v>
      </c>
      <c r="E77" s="21" t="s">
        <v>1222</v>
      </c>
      <c r="F77" s="22">
        <v>70505.539999999994</v>
      </c>
      <c r="G77" s="22">
        <v>68346.540000000008</v>
      </c>
      <c r="H77" s="23">
        <v>28022</v>
      </c>
      <c r="I77" s="23">
        <v>4200</v>
      </c>
      <c r="J77" s="17"/>
    </row>
    <row r="78" spans="1:10">
      <c r="A78" s="18" t="s">
        <v>793</v>
      </c>
      <c r="B78" s="20">
        <v>4</v>
      </c>
      <c r="C78" s="21" t="s">
        <v>286</v>
      </c>
      <c r="D78" s="21" t="s">
        <v>285</v>
      </c>
      <c r="E78" s="21" t="s">
        <v>1219</v>
      </c>
      <c r="F78" s="22">
        <v>97134.17</v>
      </c>
      <c r="G78" s="22">
        <v>91513.87</v>
      </c>
      <c r="H78" s="23">
        <v>17500</v>
      </c>
      <c r="I78" s="23">
        <v>0</v>
      </c>
      <c r="J78" s="17"/>
    </row>
    <row r="79" spans="1:10">
      <c r="A79" s="18" t="s">
        <v>794</v>
      </c>
      <c r="B79" s="20">
        <v>4</v>
      </c>
      <c r="C79" s="21" t="s">
        <v>300</v>
      </c>
      <c r="D79" s="21" t="s">
        <v>299</v>
      </c>
      <c r="E79" s="21" t="s">
        <v>1223</v>
      </c>
      <c r="F79" s="22">
        <v>69658.84</v>
      </c>
      <c r="G79" s="22">
        <v>60005.11</v>
      </c>
      <c r="H79" s="23">
        <v>44030</v>
      </c>
      <c r="I79" s="23">
        <v>0</v>
      </c>
      <c r="J79" s="17"/>
    </row>
    <row r="80" spans="1:10">
      <c r="A80" s="18" t="s">
        <v>795</v>
      </c>
      <c r="B80" s="20">
        <v>4</v>
      </c>
      <c r="C80" s="21" t="s">
        <v>499</v>
      </c>
      <c r="D80" s="21" t="s">
        <v>575</v>
      </c>
      <c r="E80" s="21" t="s">
        <v>1227</v>
      </c>
      <c r="F80" s="22">
        <v>23274</v>
      </c>
      <c r="G80" s="22">
        <v>21115</v>
      </c>
      <c r="H80" s="23">
        <v>331944.99</v>
      </c>
      <c r="I80" s="23">
        <v>331944.73999999993</v>
      </c>
      <c r="J80" s="17"/>
    </row>
    <row r="81" spans="1:10">
      <c r="A81" s="18" t="s">
        <v>796</v>
      </c>
      <c r="B81" s="20">
        <v>4</v>
      </c>
      <c r="C81" s="21" t="s">
        <v>499</v>
      </c>
      <c r="D81" s="21" t="s">
        <v>498</v>
      </c>
      <c r="E81" s="21" t="s">
        <v>1227</v>
      </c>
      <c r="F81" s="22">
        <v>333188</v>
      </c>
      <c r="G81" s="22">
        <v>333188</v>
      </c>
      <c r="H81" s="23">
        <v>65265</v>
      </c>
      <c r="I81" s="23">
        <v>13813.95</v>
      </c>
      <c r="J81" s="17"/>
    </row>
    <row r="82" spans="1:10">
      <c r="A82" s="18" t="s">
        <v>797</v>
      </c>
      <c r="B82" s="20">
        <v>4</v>
      </c>
      <c r="C82" s="21" t="s">
        <v>58</v>
      </c>
      <c r="D82" s="21" t="s">
        <v>57</v>
      </c>
      <c r="E82" s="21" t="s">
        <v>1434</v>
      </c>
      <c r="F82" s="22">
        <v>782427.34</v>
      </c>
      <c r="G82" s="22">
        <v>782427.34</v>
      </c>
      <c r="H82" s="23">
        <v>115259</v>
      </c>
      <c r="I82" s="23">
        <v>4096.6499999999996</v>
      </c>
      <c r="J82" s="17"/>
    </row>
    <row r="83" spans="1:10">
      <c r="A83" s="18" t="s">
        <v>798</v>
      </c>
      <c r="B83" s="20">
        <v>4</v>
      </c>
      <c r="C83" s="21" t="s">
        <v>58</v>
      </c>
      <c r="D83" s="21" t="s">
        <v>552</v>
      </c>
      <c r="E83" s="21" t="s">
        <v>1434</v>
      </c>
      <c r="F83" s="22">
        <v>23274</v>
      </c>
      <c r="G83" s="22">
        <v>21115</v>
      </c>
      <c r="H83" s="23">
        <v>807015.5</v>
      </c>
      <c r="I83" s="23">
        <v>786101.52</v>
      </c>
      <c r="J83" s="17"/>
    </row>
    <row r="84" spans="1:10">
      <c r="A84" s="18" t="s">
        <v>799</v>
      </c>
      <c r="B84" s="20">
        <v>4</v>
      </c>
      <c r="C84" s="21" t="s">
        <v>296</v>
      </c>
      <c r="D84" s="21" t="s">
        <v>295</v>
      </c>
      <c r="E84" s="21" t="s">
        <v>1220</v>
      </c>
      <c r="F84" s="22">
        <v>57889.540000000008</v>
      </c>
      <c r="G84" s="22">
        <v>55730.54</v>
      </c>
      <c r="H84" s="23">
        <v>782427.33999999985</v>
      </c>
      <c r="I84" s="23">
        <v>779777.34000000008</v>
      </c>
      <c r="J84" s="17"/>
    </row>
    <row r="85" spans="1:10">
      <c r="A85" s="18" t="s">
        <v>800</v>
      </c>
      <c r="B85" s="20">
        <v>4</v>
      </c>
      <c r="C85" s="21" t="s">
        <v>709</v>
      </c>
      <c r="D85" s="21" t="s">
        <v>708</v>
      </c>
      <c r="E85" s="21" t="s">
        <v>1224</v>
      </c>
      <c r="F85" s="22">
        <v>12438.88</v>
      </c>
      <c r="G85" s="22">
        <v>12438.88</v>
      </c>
      <c r="H85" s="23">
        <v>23274</v>
      </c>
      <c r="I85" s="23">
        <v>1055.75</v>
      </c>
      <c r="J85" s="17"/>
    </row>
    <row r="86" spans="1:10">
      <c r="A86" s="18" t="s">
        <v>802</v>
      </c>
      <c r="B86" s="20">
        <v>4</v>
      </c>
      <c r="C86" s="21" t="s">
        <v>220</v>
      </c>
      <c r="D86" s="21" t="s">
        <v>219</v>
      </c>
      <c r="E86" s="21" t="s">
        <v>1221</v>
      </c>
      <c r="F86" s="22">
        <v>618303.97</v>
      </c>
      <c r="G86" s="22">
        <v>618303.97</v>
      </c>
      <c r="H86" s="23">
        <v>55141</v>
      </c>
      <c r="I86" s="23">
        <v>12256.25</v>
      </c>
      <c r="J86" s="17"/>
    </row>
    <row r="87" spans="1:10">
      <c r="A87" s="18" t="s">
        <v>803</v>
      </c>
      <c r="B87" s="20">
        <v>4</v>
      </c>
      <c r="C87" s="21" t="s">
        <v>220</v>
      </c>
      <c r="D87" s="21" t="s">
        <v>310</v>
      </c>
      <c r="E87" s="21" t="s">
        <v>1221</v>
      </c>
      <c r="F87" s="22">
        <v>66092.539999999994</v>
      </c>
      <c r="G87" s="22">
        <v>61403.54</v>
      </c>
      <c r="H87" s="23">
        <v>626369.39</v>
      </c>
      <c r="I87" s="23">
        <v>618303.97</v>
      </c>
      <c r="J87" s="17"/>
    </row>
    <row r="88" spans="1:10">
      <c r="A88" s="18" t="s">
        <v>806</v>
      </c>
      <c r="B88" s="20">
        <v>4</v>
      </c>
      <c r="C88" s="21" t="s">
        <v>276</v>
      </c>
      <c r="D88" s="21" t="s">
        <v>369</v>
      </c>
      <c r="E88" s="21" t="s">
        <v>1215</v>
      </c>
      <c r="F88" s="22">
        <v>331944.74</v>
      </c>
      <c r="G88" s="22">
        <v>331944.73999999993</v>
      </c>
      <c r="H88" s="23">
        <v>86744</v>
      </c>
      <c r="I88" s="23">
        <v>23894.95</v>
      </c>
      <c r="J88" s="17"/>
    </row>
    <row r="89" spans="1:10">
      <c r="A89" s="18" t="s">
        <v>807</v>
      </c>
      <c r="B89" s="20">
        <v>4</v>
      </c>
      <c r="C89" s="21" t="s">
        <v>276</v>
      </c>
      <c r="D89" s="21" t="s">
        <v>275</v>
      </c>
      <c r="E89" s="21" t="s">
        <v>1215</v>
      </c>
      <c r="F89" s="22">
        <v>57553.570000000007</v>
      </c>
      <c r="G89" s="22">
        <v>52864.57</v>
      </c>
      <c r="H89" s="23">
        <v>66910.3</v>
      </c>
      <c r="I89" s="23">
        <v>26279.65</v>
      </c>
      <c r="J89" s="17"/>
    </row>
    <row r="90" spans="1:10">
      <c r="A90" s="18" t="s">
        <v>808</v>
      </c>
      <c r="B90" s="20">
        <v>4</v>
      </c>
      <c r="C90" s="21" t="s">
        <v>282</v>
      </c>
      <c r="D90" s="21" t="s">
        <v>535</v>
      </c>
      <c r="E90" s="21" t="s">
        <v>1226</v>
      </c>
      <c r="F90" s="22">
        <v>2728798.54</v>
      </c>
      <c r="G90" s="22">
        <v>838473.84</v>
      </c>
      <c r="H90" s="23">
        <v>12438.880000000003</v>
      </c>
      <c r="I90" s="23">
        <v>12438.88</v>
      </c>
      <c r="J90" s="17"/>
    </row>
    <row r="91" spans="1:10">
      <c r="A91" s="18" t="s">
        <v>809</v>
      </c>
      <c r="B91" s="20">
        <v>4</v>
      </c>
      <c r="C91" s="21" t="s">
        <v>282</v>
      </c>
      <c r="D91" s="21" t="s">
        <v>281</v>
      </c>
      <c r="E91" s="21" t="s">
        <v>1226</v>
      </c>
      <c r="F91" s="22">
        <v>85723.85</v>
      </c>
      <c r="G91" s="22">
        <v>57145.539999999994</v>
      </c>
      <c r="H91" s="23">
        <v>55964</v>
      </c>
      <c r="I91" s="23">
        <v>14092.45</v>
      </c>
      <c r="J91" s="17"/>
    </row>
    <row r="92" spans="1:10">
      <c r="A92" s="18" t="s">
        <v>810</v>
      </c>
      <c r="B92" s="20">
        <v>4</v>
      </c>
      <c r="C92" s="21" t="s">
        <v>307</v>
      </c>
      <c r="D92" s="21" t="s">
        <v>484</v>
      </c>
      <c r="E92" s="21" t="s">
        <v>1228</v>
      </c>
      <c r="F92" s="22">
        <v>608912</v>
      </c>
      <c r="G92" s="22">
        <v>608912</v>
      </c>
      <c r="H92" s="23">
        <v>2728798.54</v>
      </c>
      <c r="I92" s="23">
        <v>40162.559999999998</v>
      </c>
      <c r="J92" s="17"/>
    </row>
    <row r="93" spans="1:10">
      <c r="A93" s="18" t="s">
        <v>811</v>
      </c>
      <c r="B93" s="20">
        <v>4</v>
      </c>
      <c r="C93" s="21" t="s">
        <v>307</v>
      </c>
      <c r="D93" s="21" t="s">
        <v>306</v>
      </c>
      <c r="E93" s="21" t="s">
        <v>1228</v>
      </c>
      <c r="F93" s="22">
        <v>200591.42999999996</v>
      </c>
      <c r="G93" s="22">
        <v>200591.43</v>
      </c>
      <c r="H93" s="23">
        <v>74257.540000000008</v>
      </c>
      <c r="I93" s="23">
        <v>12304.45</v>
      </c>
      <c r="J93" s="17"/>
    </row>
    <row r="94" spans="1:10">
      <c r="A94" s="18" t="s">
        <v>813</v>
      </c>
      <c r="B94" s="20">
        <v>4</v>
      </c>
      <c r="C94" s="21" t="s">
        <v>307</v>
      </c>
      <c r="D94" s="21" t="s">
        <v>482</v>
      </c>
      <c r="E94" s="21" t="s">
        <v>1228</v>
      </c>
      <c r="F94" s="22">
        <v>65250.94</v>
      </c>
      <c r="G94" s="22">
        <v>61555.939999999995</v>
      </c>
      <c r="H94" s="23">
        <v>333188</v>
      </c>
      <c r="I94" s="23">
        <v>316528.59999999998</v>
      </c>
      <c r="J94" s="17"/>
    </row>
    <row r="95" spans="1:10">
      <c r="A95" s="18" t="s">
        <v>815</v>
      </c>
      <c r="B95" s="20">
        <v>4</v>
      </c>
      <c r="C95" s="21" t="s">
        <v>127</v>
      </c>
      <c r="D95" s="21" t="s">
        <v>126</v>
      </c>
      <c r="E95" s="21" t="s">
        <v>1232</v>
      </c>
      <c r="F95" s="22">
        <v>762451.76</v>
      </c>
      <c r="G95" s="22">
        <v>762451.76</v>
      </c>
      <c r="H95" s="23">
        <v>200591.42999999996</v>
      </c>
      <c r="I95" s="23">
        <v>200591.43</v>
      </c>
      <c r="J95" s="17"/>
    </row>
    <row r="96" spans="1:10">
      <c r="A96" s="18" t="s">
        <v>816</v>
      </c>
      <c r="B96" s="20">
        <v>4</v>
      </c>
      <c r="C96" s="21" t="s">
        <v>127</v>
      </c>
      <c r="D96" s="21" t="s">
        <v>491</v>
      </c>
      <c r="E96" s="21" t="s">
        <v>1232</v>
      </c>
      <c r="F96" s="22">
        <v>80830.22</v>
      </c>
      <c r="G96" s="22">
        <v>75297.040000000008</v>
      </c>
      <c r="H96" s="23">
        <v>80388</v>
      </c>
      <c r="I96" s="23">
        <v>33030.199999999997</v>
      </c>
      <c r="J96" s="17"/>
    </row>
    <row r="97" spans="1:10">
      <c r="A97" s="18" t="s">
        <v>817</v>
      </c>
      <c r="B97" s="20">
        <v>4</v>
      </c>
      <c r="C97" s="21" t="s">
        <v>127</v>
      </c>
      <c r="D97" s="21" t="s">
        <v>421</v>
      </c>
      <c r="E97" s="21" t="s">
        <v>1232</v>
      </c>
      <c r="F97" s="22">
        <v>466787.75</v>
      </c>
      <c r="G97" s="22">
        <v>466787.75</v>
      </c>
      <c r="H97" s="23">
        <v>39635.80000000001</v>
      </c>
      <c r="I97" s="23">
        <v>31212.73</v>
      </c>
      <c r="J97" s="17"/>
    </row>
    <row r="98" spans="1:10">
      <c r="A98" s="18" t="s">
        <v>818</v>
      </c>
      <c r="B98" s="20">
        <v>4</v>
      </c>
      <c r="C98" s="21" t="s">
        <v>305</v>
      </c>
      <c r="D98" s="21" t="s">
        <v>380</v>
      </c>
      <c r="E98" s="21" t="s">
        <v>1435</v>
      </c>
      <c r="F98" s="22">
        <v>55693.8</v>
      </c>
      <c r="G98" s="22">
        <v>53534.799999999996</v>
      </c>
      <c r="H98" s="23">
        <v>858211.53999999992</v>
      </c>
      <c r="I98" s="23">
        <v>773178.49000000011</v>
      </c>
      <c r="J98" s="17"/>
    </row>
    <row r="99" spans="1:10">
      <c r="A99" s="18" t="s">
        <v>819</v>
      </c>
      <c r="B99" s="20">
        <v>4</v>
      </c>
      <c r="C99" s="21" t="s">
        <v>305</v>
      </c>
      <c r="D99" s="21" t="s">
        <v>304</v>
      </c>
      <c r="E99" s="21" t="s">
        <v>1435</v>
      </c>
      <c r="F99" s="22">
        <v>852834.45999999973</v>
      </c>
      <c r="G99" s="22">
        <v>808869.74000000022</v>
      </c>
      <c r="H99" s="23">
        <v>72103.14</v>
      </c>
      <c r="I99" s="23">
        <v>23366.9</v>
      </c>
      <c r="J99" s="17"/>
    </row>
    <row r="100" spans="1:10">
      <c r="A100" s="18" t="s">
        <v>821</v>
      </c>
      <c r="B100" s="20">
        <v>4</v>
      </c>
      <c r="C100" s="21" t="s">
        <v>554</v>
      </c>
      <c r="D100" s="21" t="s">
        <v>553</v>
      </c>
      <c r="E100" s="21" t="s">
        <v>1231</v>
      </c>
      <c r="F100" s="22">
        <v>30335.98</v>
      </c>
      <c r="G100" s="22">
        <v>24256.9</v>
      </c>
      <c r="H100" s="23">
        <v>60565.79</v>
      </c>
      <c r="I100" s="23">
        <v>40349.94</v>
      </c>
      <c r="J100" s="17"/>
    </row>
    <row r="101" spans="1:10">
      <c r="A101" s="18" t="s">
        <v>822</v>
      </c>
      <c r="B101" s="20">
        <v>4</v>
      </c>
      <c r="C101" s="21" t="s">
        <v>91</v>
      </c>
      <c r="D101" s="21" t="s">
        <v>90</v>
      </c>
      <c r="E101" s="21" t="s">
        <v>1262</v>
      </c>
      <c r="F101" s="22">
        <v>580417.09000000008</v>
      </c>
      <c r="G101" s="22">
        <v>580417.09</v>
      </c>
      <c r="H101" s="23">
        <v>473707.75</v>
      </c>
      <c r="I101" s="23">
        <v>94754</v>
      </c>
      <c r="J101" s="17"/>
    </row>
    <row r="102" spans="1:10">
      <c r="A102" s="18" t="s">
        <v>823</v>
      </c>
      <c r="B102" s="20">
        <v>4</v>
      </c>
      <c r="C102" s="21" t="s">
        <v>91</v>
      </c>
      <c r="D102" s="21" t="s">
        <v>436</v>
      </c>
      <c r="E102" s="21" t="s">
        <v>1262</v>
      </c>
      <c r="F102" s="22">
        <v>55093</v>
      </c>
      <c r="G102" s="22">
        <v>54110</v>
      </c>
      <c r="H102" s="23">
        <v>2040133.6600000001</v>
      </c>
      <c r="I102" s="23">
        <v>1389897.4699999997</v>
      </c>
      <c r="J102" s="17"/>
    </row>
    <row r="103" spans="1:10">
      <c r="A103" s="18" t="s">
        <v>824</v>
      </c>
      <c r="B103" s="20">
        <v>4</v>
      </c>
      <c r="C103" s="21" t="s">
        <v>172</v>
      </c>
      <c r="D103" s="21" t="s">
        <v>570</v>
      </c>
      <c r="E103" s="21" t="s">
        <v>1260</v>
      </c>
      <c r="F103" s="22">
        <v>118290.72</v>
      </c>
      <c r="G103" s="22">
        <v>118290.72000000002</v>
      </c>
      <c r="H103" s="23">
        <v>54347.669999999984</v>
      </c>
      <c r="I103" s="23">
        <v>31676.36</v>
      </c>
      <c r="J103" s="17"/>
    </row>
    <row r="104" spans="1:10">
      <c r="A104" s="18" t="s">
        <v>826</v>
      </c>
      <c r="B104" s="20">
        <v>4</v>
      </c>
      <c r="C104" s="21" t="s">
        <v>172</v>
      </c>
      <c r="D104" s="21" t="s">
        <v>171</v>
      </c>
      <c r="E104" s="21" t="s">
        <v>1260</v>
      </c>
      <c r="F104" s="22">
        <v>62071.43</v>
      </c>
      <c r="G104" s="22">
        <v>59912.429999999993</v>
      </c>
      <c r="H104" s="23">
        <v>77654</v>
      </c>
      <c r="I104" s="23">
        <v>39538.9</v>
      </c>
      <c r="J104" s="17"/>
    </row>
    <row r="105" spans="1:10">
      <c r="A105" s="18" t="s">
        <v>828</v>
      </c>
      <c r="B105" s="20">
        <v>4</v>
      </c>
      <c r="C105" s="21" t="s">
        <v>294</v>
      </c>
      <c r="D105" s="21" t="s">
        <v>293</v>
      </c>
      <c r="E105" s="21" t="s">
        <v>1261</v>
      </c>
      <c r="F105" s="22">
        <v>86316.54</v>
      </c>
      <c r="G105" s="22">
        <v>81409</v>
      </c>
      <c r="H105" s="23">
        <v>422035</v>
      </c>
      <c r="I105" s="23">
        <v>0</v>
      </c>
      <c r="J105" s="17"/>
    </row>
    <row r="106" spans="1:10">
      <c r="A106" s="18" t="s">
        <v>829</v>
      </c>
      <c r="B106" s="20">
        <v>4</v>
      </c>
      <c r="C106" s="21" t="s">
        <v>630</v>
      </c>
      <c r="D106" s="21" t="s">
        <v>629</v>
      </c>
      <c r="E106" s="21" t="s">
        <v>1303</v>
      </c>
      <c r="F106" s="22">
        <v>3119698.59</v>
      </c>
      <c r="G106" s="22">
        <v>2370900.59</v>
      </c>
      <c r="H106" s="23">
        <v>2294.3700000000026</v>
      </c>
      <c r="I106" s="23">
        <v>2294.37</v>
      </c>
      <c r="J106" s="17"/>
    </row>
    <row r="107" spans="1:10">
      <c r="A107" s="18" t="s">
        <v>830</v>
      </c>
      <c r="B107" s="20">
        <v>4</v>
      </c>
      <c r="C107" s="21" t="s">
        <v>284</v>
      </c>
      <c r="D107" s="21" t="s">
        <v>283</v>
      </c>
      <c r="E107" s="21" t="s">
        <v>1302</v>
      </c>
      <c r="F107" s="22">
        <v>84078.54</v>
      </c>
      <c r="G107" s="22">
        <v>78019.540000000008</v>
      </c>
      <c r="H107" s="23">
        <v>517233.92999999993</v>
      </c>
      <c r="I107" s="23">
        <v>420016.06000000011</v>
      </c>
      <c r="J107" s="17"/>
    </row>
    <row r="108" spans="1:10">
      <c r="A108" s="18" t="s">
        <v>831</v>
      </c>
      <c r="B108" s="20">
        <v>4</v>
      </c>
      <c r="C108" s="21" t="s">
        <v>618</v>
      </c>
      <c r="D108" s="21" t="s">
        <v>617</v>
      </c>
      <c r="E108" s="21" t="s">
        <v>1301</v>
      </c>
      <c r="F108" s="22">
        <v>23839</v>
      </c>
      <c r="G108" s="22">
        <v>21680</v>
      </c>
      <c r="H108" s="23">
        <v>2629422.77</v>
      </c>
      <c r="I108" s="23">
        <v>2569845.1600000006</v>
      </c>
      <c r="J108" s="17"/>
    </row>
    <row r="109" spans="1:10">
      <c r="A109" s="18" t="s">
        <v>832</v>
      </c>
      <c r="B109" s="20">
        <v>4</v>
      </c>
      <c r="C109" s="21" t="s">
        <v>183</v>
      </c>
      <c r="D109" s="21" t="s">
        <v>182</v>
      </c>
      <c r="E109" s="21" t="s">
        <v>1304</v>
      </c>
      <c r="F109" s="22">
        <v>763420.59999999974</v>
      </c>
      <c r="G109" s="22">
        <v>763420.60000000009</v>
      </c>
      <c r="H109" s="23">
        <v>325368.04999999993</v>
      </c>
      <c r="I109" s="23">
        <v>325368.05000000005</v>
      </c>
      <c r="J109" s="17"/>
    </row>
    <row r="110" spans="1:10">
      <c r="A110" s="18" t="s">
        <v>833</v>
      </c>
      <c r="B110" s="20">
        <v>4</v>
      </c>
      <c r="C110" s="21" t="s">
        <v>183</v>
      </c>
      <c r="D110" s="21" t="s">
        <v>422</v>
      </c>
      <c r="E110" s="21" t="s">
        <v>1304</v>
      </c>
      <c r="F110" s="22">
        <v>80928.639999999999</v>
      </c>
      <c r="G110" s="22">
        <v>79721.64</v>
      </c>
      <c r="H110" s="23">
        <v>60358.41</v>
      </c>
      <c r="I110" s="23">
        <v>21797.690000000002</v>
      </c>
      <c r="J110" s="17"/>
    </row>
    <row r="111" spans="1:10">
      <c r="A111" s="18" t="s">
        <v>835</v>
      </c>
      <c r="B111" s="20">
        <v>4</v>
      </c>
      <c r="C111" s="21" t="s">
        <v>177</v>
      </c>
      <c r="D111" s="21" t="s">
        <v>398</v>
      </c>
      <c r="E111" s="21" t="s">
        <v>1305</v>
      </c>
      <c r="F111" s="22">
        <v>62766.66</v>
      </c>
      <c r="G111" s="22">
        <v>49433</v>
      </c>
      <c r="H111" s="23">
        <v>97394.95</v>
      </c>
      <c r="I111" s="23">
        <v>56469.17</v>
      </c>
      <c r="J111" s="17"/>
    </row>
    <row r="112" spans="1:10">
      <c r="A112" s="18" t="s">
        <v>836</v>
      </c>
      <c r="B112" s="20">
        <v>4</v>
      </c>
      <c r="C112" s="21" t="s">
        <v>177</v>
      </c>
      <c r="D112" s="21" t="s">
        <v>176</v>
      </c>
      <c r="E112" s="21" t="s">
        <v>1305</v>
      </c>
      <c r="F112" s="22">
        <v>1234236.1599999997</v>
      </c>
      <c r="G112" s="22">
        <v>1234236.1599999999</v>
      </c>
      <c r="H112" s="23">
        <v>1196053.6599999999</v>
      </c>
      <c r="I112" s="23">
        <v>751615.66</v>
      </c>
      <c r="J112" s="17"/>
    </row>
    <row r="113" spans="1:10">
      <c r="A113" s="18" t="s">
        <v>838</v>
      </c>
      <c r="B113" s="20">
        <v>4</v>
      </c>
      <c r="C113" s="21" t="s">
        <v>415</v>
      </c>
      <c r="D113" s="21" t="s">
        <v>549</v>
      </c>
      <c r="E113" s="21" t="s">
        <v>1361</v>
      </c>
      <c r="F113" s="22">
        <v>179346.98000000004</v>
      </c>
      <c r="G113" s="22">
        <v>99189.86000000003</v>
      </c>
      <c r="H113" s="23">
        <v>1999490</v>
      </c>
      <c r="I113" s="23">
        <v>1466639.28</v>
      </c>
      <c r="J113" s="17"/>
    </row>
    <row r="114" spans="1:10">
      <c r="A114" s="18" t="s">
        <v>839</v>
      </c>
      <c r="B114" s="20">
        <v>4</v>
      </c>
      <c r="C114" s="21" t="s">
        <v>415</v>
      </c>
      <c r="D114" s="21" t="s">
        <v>414</v>
      </c>
      <c r="E114" s="21" t="s">
        <v>1361</v>
      </c>
      <c r="F114" s="22">
        <v>79348.350000000006</v>
      </c>
      <c r="G114" s="22">
        <v>76959</v>
      </c>
      <c r="H114" s="23">
        <v>1429551.9099999997</v>
      </c>
      <c r="I114" s="23">
        <v>1402255.77</v>
      </c>
      <c r="J114" s="17"/>
    </row>
    <row r="115" spans="1:10">
      <c r="A115" s="18" t="s">
        <v>840</v>
      </c>
      <c r="B115" s="20">
        <v>4</v>
      </c>
      <c r="C115" s="21" t="s">
        <v>280</v>
      </c>
      <c r="D115" s="21" t="s">
        <v>279</v>
      </c>
      <c r="E115" s="21" t="s">
        <v>1363</v>
      </c>
      <c r="F115" s="22">
        <v>72212.75</v>
      </c>
      <c r="G115" s="22">
        <v>65156.409999999996</v>
      </c>
      <c r="H115" s="23">
        <v>699501</v>
      </c>
      <c r="I115" s="23">
        <v>0</v>
      </c>
      <c r="J115" s="17"/>
    </row>
    <row r="116" spans="1:10">
      <c r="A116" s="18" t="s">
        <v>842</v>
      </c>
      <c r="B116" s="20">
        <v>4</v>
      </c>
      <c r="C116" s="21" t="s">
        <v>129</v>
      </c>
      <c r="D116" s="21" t="s">
        <v>128</v>
      </c>
      <c r="E116" s="21" t="s">
        <v>1362</v>
      </c>
      <c r="F116" s="22">
        <v>2036731.1600000004</v>
      </c>
      <c r="G116" s="22">
        <v>2036731.16</v>
      </c>
      <c r="H116" s="23">
        <v>55862.32</v>
      </c>
      <c r="I116" s="23">
        <v>4663</v>
      </c>
      <c r="J116" s="17"/>
    </row>
    <row r="117" spans="1:10">
      <c r="A117" s="18" t="s">
        <v>844</v>
      </c>
      <c r="B117" s="20">
        <v>4</v>
      </c>
      <c r="C117" s="21" t="s">
        <v>129</v>
      </c>
      <c r="D117" s="21" t="s">
        <v>470</v>
      </c>
      <c r="E117" s="21" t="s">
        <v>1362</v>
      </c>
      <c r="F117" s="22">
        <v>57086.61</v>
      </c>
      <c r="G117" s="22">
        <v>56103.61</v>
      </c>
      <c r="H117" s="23">
        <v>495156.1100000001</v>
      </c>
      <c r="I117" s="23">
        <v>495156.11</v>
      </c>
      <c r="J117" s="17"/>
    </row>
    <row r="118" spans="1:10">
      <c r="A118" s="18" t="s">
        <v>846</v>
      </c>
      <c r="B118" s="20">
        <v>4</v>
      </c>
      <c r="C118" s="21" t="s">
        <v>274</v>
      </c>
      <c r="D118" s="21" t="s">
        <v>273</v>
      </c>
      <c r="E118" s="21" t="s">
        <v>1365</v>
      </c>
      <c r="F118" s="22">
        <v>149925.94</v>
      </c>
      <c r="G118" s="22">
        <v>144266.94</v>
      </c>
      <c r="H118" s="23">
        <v>5372185</v>
      </c>
      <c r="I118" s="23">
        <v>1895394.12</v>
      </c>
      <c r="J118" s="17"/>
    </row>
    <row r="119" spans="1:10">
      <c r="A119" s="18" t="s">
        <v>847</v>
      </c>
      <c r="B119" s="20">
        <v>4</v>
      </c>
      <c r="C119" s="21" t="s">
        <v>572</v>
      </c>
      <c r="D119" s="21" t="s">
        <v>571</v>
      </c>
      <c r="E119" s="21" t="s">
        <v>1366</v>
      </c>
      <c r="F119" s="22">
        <v>58004.579999999994</v>
      </c>
      <c r="G119" s="22">
        <v>57370.58</v>
      </c>
      <c r="H119" s="23">
        <v>605000</v>
      </c>
      <c r="I119" s="23">
        <v>195129.30999999997</v>
      </c>
      <c r="J119" s="17"/>
    </row>
    <row r="120" spans="1:10">
      <c r="A120" s="18" t="s">
        <v>849</v>
      </c>
      <c r="B120" s="20">
        <v>4</v>
      </c>
      <c r="C120" s="21" t="s">
        <v>577</v>
      </c>
      <c r="D120" s="21" t="s">
        <v>576</v>
      </c>
      <c r="E120" s="21" t="s">
        <v>1367</v>
      </c>
      <c r="F120" s="22">
        <v>68221.509999999995</v>
      </c>
      <c r="G120" s="22">
        <v>63523.93</v>
      </c>
      <c r="H120" s="23">
        <v>38849</v>
      </c>
      <c r="I120" s="23">
        <v>13948.3</v>
      </c>
      <c r="J120" s="17"/>
    </row>
    <row r="121" spans="1:10">
      <c r="A121" s="18" t="s">
        <v>850</v>
      </c>
      <c r="B121" s="20">
        <v>4</v>
      </c>
      <c r="C121" s="21" t="s">
        <v>606</v>
      </c>
      <c r="D121" s="21" t="s">
        <v>605</v>
      </c>
      <c r="E121" s="21" t="s">
        <v>1368</v>
      </c>
      <c r="F121" s="22">
        <v>64316.320000000007</v>
      </c>
      <c r="G121" s="22">
        <v>63682.320000000007</v>
      </c>
      <c r="H121" s="23">
        <v>368398</v>
      </c>
      <c r="I121" s="23">
        <v>284088.53999999998</v>
      </c>
      <c r="J121" s="17"/>
    </row>
    <row r="122" spans="1:10">
      <c r="A122" s="18" t="s">
        <v>851</v>
      </c>
      <c r="B122" s="20">
        <v>5</v>
      </c>
      <c r="C122" s="21" t="s">
        <v>329</v>
      </c>
      <c r="D122" s="21" t="s">
        <v>328</v>
      </c>
      <c r="E122" s="21" t="s">
        <v>1242</v>
      </c>
      <c r="F122" s="22">
        <v>1196053.6599999999</v>
      </c>
      <c r="G122" s="22">
        <v>1196053.6599999999</v>
      </c>
      <c r="H122" s="23">
        <v>811513.43</v>
      </c>
      <c r="I122" s="23">
        <v>811513.43</v>
      </c>
      <c r="J122" s="17"/>
    </row>
    <row r="123" spans="1:10">
      <c r="A123" s="18" t="s">
        <v>852</v>
      </c>
      <c r="B123" s="20">
        <v>5</v>
      </c>
      <c r="C123" s="21" t="s">
        <v>329</v>
      </c>
      <c r="D123" s="21" t="s">
        <v>357</v>
      </c>
      <c r="E123" s="21" t="s">
        <v>1242</v>
      </c>
      <c r="F123" s="22">
        <v>77378.959999999992</v>
      </c>
      <c r="G123" s="22">
        <v>60945.68</v>
      </c>
      <c r="H123" s="23">
        <v>2751321.9999999995</v>
      </c>
      <c r="I123" s="23">
        <v>2722903.9499999993</v>
      </c>
      <c r="J123" s="17"/>
    </row>
    <row r="124" spans="1:10">
      <c r="A124" s="18" t="s">
        <v>853</v>
      </c>
      <c r="B124" s="20">
        <v>5</v>
      </c>
      <c r="C124" s="21" t="s">
        <v>455</v>
      </c>
      <c r="D124" s="21" t="s">
        <v>454</v>
      </c>
      <c r="E124" s="21" t="s">
        <v>1247</v>
      </c>
      <c r="F124" s="22">
        <v>495156.11</v>
      </c>
      <c r="G124" s="22">
        <v>495156.11</v>
      </c>
      <c r="H124" s="23">
        <v>38678</v>
      </c>
      <c r="I124" s="23">
        <v>3919</v>
      </c>
      <c r="J124" s="17"/>
    </row>
    <row r="125" spans="1:10">
      <c r="A125" s="18" t="s">
        <v>854</v>
      </c>
      <c r="B125" s="20">
        <v>5</v>
      </c>
      <c r="C125" s="21" t="s">
        <v>226</v>
      </c>
      <c r="D125" s="21" t="s">
        <v>225</v>
      </c>
      <c r="E125" s="21" t="s">
        <v>1244</v>
      </c>
      <c r="F125" s="22">
        <v>1429551.9099999997</v>
      </c>
      <c r="G125" s="22">
        <v>1422580.6099999996</v>
      </c>
      <c r="H125" s="23">
        <v>163441.83000000002</v>
      </c>
      <c r="I125" s="23">
        <v>163441.82999999999</v>
      </c>
      <c r="J125" s="17"/>
    </row>
    <row r="126" spans="1:10">
      <c r="A126" s="18" t="s">
        <v>855</v>
      </c>
      <c r="B126" s="20">
        <v>5</v>
      </c>
      <c r="C126" s="21" t="s">
        <v>226</v>
      </c>
      <c r="D126" s="21" t="s">
        <v>644</v>
      </c>
      <c r="E126" s="21" t="s">
        <v>1436</v>
      </c>
      <c r="F126" s="22">
        <v>1296238.3399999999</v>
      </c>
      <c r="G126" s="22">
        <v>1296238.3400000001</v>
      </c>
      <c r="H126" s="23">
        <v>154349.75</v>
      </c>
      <c r="I126" s="23">
        <v>154349.75</v>
      </c>
      <c r="J126" s="17"/>
    </row>
    <row r="127" spans="1:10">
      <c r="A127" s="18" t="s">
        <v>856</v>
      </c>
      <c r="B127" s="20">
        <v>5</v>
      </c>
      <c r="C127" s="21" t="s">
        <v>45</v>
      </c>
      <c r="D127" s="21" t="s">
        <v>44</v>
      </c>
      <c r="E127" s="21" t="s">
        <v>1243</v>
      </c>
      <c r="F127" s="22">
        <v>2154587.09</v>
      </c>
      <c r="G127" s="22">
        <v>1993124.99</v>
      </c>
      <c r="H127" s="23">
        <v>262569.65000000002</v>
      </c>
      <c r="I127" s="23">
        <v>262569.64999999997</v>
      </c>
      <c r="J127" s="17"/>
    </row>
    <row r="128" spans="1:10">
      <c r="A128" s="18" t="s">
        <v>857</v>
      </c>
      <c r="B128" s="20">
        <v>5</v>
      </c>
      <c r="C128" s="21" t="s">
        <v>476</v>
      </c>
      <c r="D128" s="21" t="s">
        <v>475</v>
      </c>
      <c r="E128" s="21" t="s">
        <v>1248</v>
      </c>
      <c r="F128" s="22">
        <v>260921.37000000008</v>
      </c>
      <c r="G128" s="22">
        <v>56305.359999999993</v>
      </c>
      <c r="H128" s="23">
        <v>154349.75</v>
      </c>
      <c r="I128" s="23">
        <v>154349.75</v>
      </c>
      <c r="J128" s="17"/>
    </row>
    <row r="129" spans="1:10">
      <c r="A129" s="18" t="s">
        <v>858</v>
      </c>
      <c r="B129" s="20">
        <v>5</v>
      </c>
      <c r="C129" s="21" t="s">
        <v>394</v>
      </c>
      <c r="D129" s="21" t="s">
        <v>393</v>
      </c>
      <c r="E129" s="21" t="s">
        <v>1249</v>
      </c>
      <c r="F129" s="22">
        <v>5742368</v>
      </c>
      <c r="G129" s="22">
        <v>5280864.12</v>
      </c>
      <c r="H129" s="23">
        <v>154349.75</v>
      </c>
      <c r="I129" s="23">
        <v>154349.75</v>
      </c>
      <c r="J129" s="17"/>
    </row>
    <row r="130" spans="1:10">
      <c r="A130" s="18" t="s">
        <v>860</v>
      </c>
      <c r="B130" s="20">
        <v>5</v>
      </c>
      <c r="C130" s="21" t="s">
        <v>625</v>
      </c>
      <c r="D130" s="21" t="s">
        <v>645</v>
      </c>
      <c r="E130" s="21" t="s">
        <v>1437</v>
      </c>
      <c r="F130" s="22">
        <v>605000</v>
      </c>
      <c r="G130" s="22">
        <v>565130.52</v>
      </c>
      <c r="H130" s="23">
        <v>98822.54</v>
      </c>
      <c r="I130" s="23">
        <v>59079.41</v>
      </c>
      <c r="J130" s="17"/>
    </row>
    <row r="131" spans="1:10">
      <c r="A131" s="18" t="s">
        <v>861</v>
      </c>
      <c r="B131" s="20">
        <v>5</v>
      </c>
      <c r="C131" s="21" t="s">
        <v>255</v>
      </c>
      <c r="D131" s="21" t="s">
        <v>254</v>
      </c>
      <c r="E131" s="21" t="s">
        <v>1238</v>
      </c>
      <c r="F131" s="22">
        <v>2629422.77</v>
      </c>
      <c r="G131" s="22">
        <v>2629422.7699999991</v>
      </c>
      <c r="H131" s="23">
        <v>227005.56</v>
      </c>
      <c r="I131" s="23">
        <v>227005.56</v>
      </c>
      <c r="J131" s="17"/>
    </row>
    <row r="132" spans="1:10">
      <c r="A132" s="18" t="s">
        <v>862</v>
      </c>
      <c r="B132" s="20">
        <v>5</v>
      </c>
      <c r="C132" s="21" t="s">
        <v>175</v>
      </c>
      <c r="D132" s="21" t="s">
        <v>174</v>
      </c>
      <c r="E132" s="21" t="s">
        <v>1239</v>
      </c>
      <c r="F132" s="22">
        <v>325368.04999999987</v>
      </c>
      <c r="G132" s="22">
        <v>325368.05</v>
      </c>
      <c r="H132" s="23">
        <v>116271.35</v>
      </c>
      <c r="I132" s="23">
        <v>116271.35</v>
      </c>
      <c r="J132" s="17"/>
    </row>
    <row r="133" spans="1:10">
      <c r="A133" s="18" t="s">
        <v>864</v>
      </c>
      <c r="B133" s="20">
        <v>5</v>
      </c>
      <c r="C133" s="21" t="s">
        <v>411</v>
      </c>
      <c r="D133" s="21" t="s">
        <v>410</v>
      </c>
      <c r="E133" s="21" t="s">
        <v>1240</v>
      </c>
      <c r="F133" s="22">
        <v>60358.41</v>
      </c>
      <c r="G133" s="22">
        <v>55376.41</v>
      </c>
      <c r="H133" s="23">
        <v>59179</v>
      </c>
      <c r="I133" s="23">
        <v>27119.47</v>
      </c>
      <c r="J133" s="17"/>
    </row>
    <row r="134" spans="1:10">
      <c r="A134" s="18" t="s">
        <v>865</v>
      </c>
      <c r="B134" s="20">
        <v>5</v>
      </c>
      <c r="C134" s="21" t="s">
        <v>27</v>
      </c>
      <c r="D134" s="21" t="s">
        <v>26</v>
      </c>
      <c r="E134" s="21" t="s">
        <v>1246</v>
      </c>
      <c r="F134" s="22">
        <v>362258.22</v>
      </c>
      <c r="G134" s="22">
        <v>362258.22</v>
      </c>
      <c r="H134" s="23">
        <v>66065</v>
      </c>
      <c r="I134" s="23">
        <v>35971.449999999997</v>
      </c>
      <c r="J134" s="17"/>
    </row>
    <row r="135" spans="1:10">
      <c r="A135" s="18" t="s">
        <v>866</v>
      </c>
      <c r="B135" s="20">
        <v>5</v>
      </c>
      <c r="C135" s="21" t="s">
        <v>23</v>
      </c>
      <c r="D135" s="21" t="s">
        <v>22</v>
      </c>
      <c r="E135" s="21" t="s">
        <v>1241</v>
      </c>
      <c r="F135" s="22">
        <v>926370.80000000028</v>
      </c>
      <c r="G135" s="22">
        <v>926370.80000000016</v>
      </c>
      <c r="H135" s="23">
        <v>580417.09000000008</v>
      </c>
      <c r="I135" s="23">
        <v>580167.09000000008</v>
      </c>
      <c r="J135" s="17"/>
    </row>
    <row r="136" spans="1:10">
      <c r="A136" s="18" t="s">
        <v>867</v>
      </c>
      <c r="B136" s="20">
        <v>5</v>
      </c>
      <c r="C136" s="21" t="s">
        <v>23</v>
      </c>
      <c r="D136" s="21" t="s">
        <v>412</v>
      </c>
      <c r="E136" s="21" t="s">
        <v>1241</v>
      </c>
      <c r="F136" s="22">
        <v>97394.95</v>
      </c>
      <c r="G136" s="22">
        <v>92029.95</v>
      </c>
      <c r="H136" s="23">
        <v>55093</v>
      </c>
      <c r="I136" s="23">
        <v>18880.5</v>
      </c>
      <c r="J136" s="17"/>
    </row>
    <row r="137" spans="1:10">
      <c r="A137" s="18" t="s">
        <v>869</v>
      </c>
      <c r="B137" s="20">
        <v>5</v>
      </c>
      <c r="C137" s="21" t="s">
        <v>373</v>
      </c>
      <c r="D137" s="21" t="s">
        <v>372</v>
      </c>
      <c r="E137" s="21" t="s">
        <v>1245</v>
      </c>
      <c r="F137" s="22">
        <v>337543.91</v>
      </c>
      <c r="G137" s="22">
        <v>337543.91</v>
      </c>
      <c r="H137" s="23">
        <v>56862.79</v>
      </c>
      <c r="I137" s="23">
        <v>43979.6</v>
      </c>
      <c r="J137" s="17"/>
    </row>
    <row r="138" spans="1:10">
      <c r="A138" s="18" t="s">
        <v>870</v>
      </c>
      <c r="B138" s="20">
        <v>5</v>
      </c>
      <c r="C138" s="21" t="s">
        <v>373</v>
      </c>
      <c r="D138" s="21" t="s">
        <v>413</v>
      </c>
      <c r="E138" s="21" t="s">
        <v>1245</v>
      </c>
      <c r="F138" s="22">
        <v>55862.32</v>
      </c>
      <c r="G138" s="22">
        <v>46326.759999999995</v>
      </c>
      <c r="H138" s="23">
        <v>40029.770000000004</v>
      </c>
      <c r="I138" s="23">
        <v>38575.18</v>
      </c>
      <c r="J138" s="17"/>
    </row>
    <row r="139" spans="1:10">
      <c r="A139" s="18" t="s">
        <v>871</v>
      </c>
      <c r="B139" s="20">
        <v>5</v>
      </c>
      <c r="C139" s="21" t="s">
        <v>181</v>
      </c>
      <c r="D139" s="21" t="s">
        <v>180</v>
      </c>
      <c r="E139" s="21" t="s">
        <v>1250</v>
      </c>
      <c r="F139" s="22">
        <v>1356781.44</v>
      </c>
      <c r="G139" s="22">
        <v>1356781.44</v>
      </c>
      <c r="H139" s="23">
        <v>294107.64</v>
      </c>
      <c r="I139" s="23">
        <v>167514.64000000001</v>
      </c>
      <c r="J139" s="17"/>
    </row>
    <row r="140" spans="1:10">
      <c r="A140" s="18" t="s">
        <v>872</v>
      </c>
      <c r="B140" s="20">
        <v>5</v>
      </c>
      <c r="C140" s="21" t="s">
        <v>181</v>
      </c>
      <c r="D140" s="21" t="s">
        <v>495</v>
      </c>
      <c r="E140" s="21" t="s">
        <v>1250</v>
      </c>
      <c r="F140" s="22">
        <v>38849</v>
      </c>
      <c r="G140" s="22">
        <v>36768.5</v>
      </c>
      <c r="H140" s="23">
        <v>38452.58</v>
      </c>
      <c r="I140" s="23">
        <v>36993.780000000006</v>
      </c>
      <c r="J140" s="17"/>
    </row>
    <row r="141" spans="1:10">
      <c r="A141" s="18" t="s">
        <v>873</v>
      </c>
      <c r="B141" s="20">
        <v>5</v>
      </c>
      <c r="C141" s="21" t="s">
        <v>431</v>
      </c>
      <c r="D141" s="21" t="s">
        <v>430</v>
      </c>
      <c r="E141" s="21" t="s">
        <v>1251</v>
      </c>
      <c r="F141" s="22">
        <v>368398</v>
      </c>
      <c r="G141" s="22">
        <v>284088.53999999998</v>
      </c>
      <c r="H141" s="23">
        <v>146786.34</v>
      </c>
      <c r="I141" s="23">
        <v>139786.34</v>
      </c>
      <c r="J141" s="17"/>
    </row>
    <row r="142" spans="1:10">
      <c r="A142" s="18" t="s">
        <v>874</v>
      </c>
      <c r="B142" s="20">
        <v>5</v>
      </c>
      <c r="C142" s="21" t="s">
        <v>325</v>
      </c>
      <c r="D142" s="21" t="s">
        <v>324</v>
      </c>
      <c r="E142" s="21" t="s">
        <v>1438</v>
      </c>
      <c r="F142" s="22">
        <v>163441.82999999999</v>
      </c>
      <c r="G142" s="22">
        <v>163441.82999999999</v>
      </c>
      <c r="H142" s="23">
        <v>26155</v>
      </c>
      <c r="I142" s="23">
        <v>21004.5</v>
      </c>
      <c r="J142" s="17"/>
    </row>
    <row r="143" spans="1:10">
      <c r="A143" s="18" t="s">
        <v>875</v>
      </c>
      <c r="B143" s="20">
        <v>5</v>
      </c>
      <c r="C143" s="21" t="s">
        <v>692</v>
      </c>
      <c r="D143" s="21" t="s">
        <v>691</v>
      </c>
      <c r="E143" s="21" t="s">
        <v>1438</v>
      </c>
      <c r="F143" s="22">
        <v>154349.75</v>
      </c>
      <c r="G143" s="22">
        <v>154349.75</v>
      </c>
      <c r="H143" s="23">
        <v>48292</v>
      </c>
      <c r="I143" s="23">
        <v>7500</v>
      </c>
      <c r="J143" s="17"/>
    </row>
    <row r="144" spans="1:10">
      <c r="A144" s="18" t="s">
        <v>876</v>
      </c>
      <c r="B144" s="20">
        <v>5</v>
      </c>
      <c r="C144" s="21" t="s">
        <v>327</v>
      </c>
      <c r="D144" s="21" t="s">
        <v>326</v>
      </c>
      <c r="E144" s="21" t="s">
        <v>1438</v>
      </c>
      <c r="F144" s="22">
        <v>154349.75</v>
      </c>
      <c r="G144" s="22">
        <v>154349.75</v>
      </c>
      <c r="H144" s="23">
        <v>2438133.8199999998</v>
      </c>
      <c r="I144" s="23">
        <v>0</v>
      </c>
      <c r="J144" s="17"/>
    </row>
    <row r="145" spans="1:10">
      <c r="A145" s="18" t="s">
        <v>877</v>
      </c>
      <c r="B145" s="20">
        <v>5</v>
      </c>
      <c r="C145" s="21" t="s">
        <v>185</v>
      </c>
      <c r="D145" s="21" t="s">
        <v>184</v>
      </c>
      <c r="E145" s="21" t="s">
        <v>1438</v>
      </c>
      <c r="F145" s="22">
        <v>154349.75</v>
      </c>
      <c r="G145" s="22">
        <v>154349.75</v>
      </c>
      <c r="H145" s="23">
        <v>799841</v>
      </c>
      <c r="I145" s="23">
        <v>459317.94</v>
      </c>
      <c r="J145" s="17"/>
    </row>
    <row r="146" spans="1:10">
      <c r="A146" s="18" t="s">
        <v>878</v>
      </c>
      <c r="B146" s="20">
        <v>5</v>
      </c>
      <c r="C146" s="21" t="s">
        <v>671</v>
      </c>
      <c r="D146" s="21" t="s">
        <v>670</v>
      </c>
      <c r="E146" s="21" t="s">
        <v>1256</v>
      </c>
      <c r="F146" s="22">
        <v>262569.65000000002</v>
      </c>
      <c r="G146" s="22">
        <v>262569.64999999997</v>
      </c>
      <c r="H146" s="23">
        <v>17550</v>
      </c>
      <c r="I146" s="23">
        <v>12860</v>
      </c>
      <c r="J146" s="17"/>
    </row>
    <row r="147" spans="1:10">
      <c r="A147" s="18" t="s">
        <v>879</v>
      </c>
      <c r="B147" s="20">
        <v>5</v>
      </c>
      <c r="C147" s="21" t="s">
        <v>404</v>
      </c>
      <c r="D147" s="21" t="s">
        <v>403</v>
      </c>
      <c r="E147" s="21" t="s">
        <v>1252</v>
      </c>
      <c r="F147" s="22">
        <v>811513.43</v>
      </c>
      <c r="G147" s="22">
        <v>811513.42999999993</v>
      </c>
      <c r="H147" s="23">
        <v>73186.78</v>
      </c>
      <c r="I147" s="23">
        <v>69186.78</v>
      </c>
      <c r="J147" s="17"/>
    </row>
    <row r="148" spans="1:10">
      <c r="A148" s="18" t="s">
        <v>880</v>
      </c>
      <c r="B148" s="20">
        <v>5</v>
      </c>
      <c r="C148" s="21" t="s">
        <v>272</v>
      </c>
      <c r="D148" s="21" t="s">
        <v>271</v>
      </c>
      <c r="E148" s="21" t="s">
        <v>1253</v>
      </c>
      <c r="F148" s="22">
        <v>2751321.9999999995</v>
      </c>
      <c r="G148" s="22">
        <v>2751321.9999999995</v>
      </c>
      <c r="H148" s="23">
        <v>34947.160000000003</v>
      </c>
      <c r="I148" s="23">
        <v>29219.11</v>
      </c>
      <c r="J148" s="17"/>
    </row>
    <row r="149" spans="1:10">
      <c r="A149" s="18" t="s">
        <v>881</v>
      </c>
      <c r="B149" s="20">
        <v>5</v>
      </c>
      <c r="C149" s="21" t="s">
        <v>272</v>
      </c>
      <c r="D149" s="21" t="s">
        <v>362</v>
      </c>
      <c r="E149" s="21" t="s">
        <v>1253</v>
      </c>
      <c r="F149" s="22">
        <v>38678</v>
      </c>
      <c r="G149" s="22">
        <v>34079</v>
      </c>
      <c r="H149" s="23">
        <v>1963897.3200000003</v>
      </c>
      <c r="I149" s="23">
        <v>1963897.3199999998</v>
      </c>
      <c r="J149" s="17"/>
    </row>
    <row r="150" spans="1:10">
      <c r="A150" s="18" t="s">
        <v>882</v>
      </c>
      <c r="B150" s="20">
        <v>5</v>
      </c>
      <c r="C150" s="21" t="s">
        <v>224</v>
      </c>
      <c r="D150" s="21" t="s">
        <v>223</v>
      </c>
      <c r="E150" s="21" t="s">
        <v>1281</v>
      </c>
      <c r="F150" s="22">
        <v>194518.87999999998</v>
      </c>
      <c r="G150" s="22">
        <v>194518.88</v>
      </c>
      <c r="H150" s="23">
        <v>396312.42999999993</v>
      </c>
      <c r="I150" s="23">
        <v>396312.43</v>
      </c>
      <c r="J150" s="17"/>
    </row>
    <row r="151" spans="1:10">
      <c r="A151" s="18" t="s">
        <v>883</v>
      </c>
      <c r="B151" s="20">
        <v>5</v>
      </c>
      <c r="C151" s="21" t="s">
        <v>460</v>
      </c>
      <c r="D151" s="21" t="s">
        <v>481</v>
      </c>
      <c r="E151" s="21" t="s">
        <v>1280</v>
      </c>
      <c r="F151" s="22">
        <v>139108.56000000003</v>
      </c>
      <c r="G151" s="22">
        <v>139108.56</v>
      </c>
      <c r="H151" s="23">
        <v>284996.25000000006</v>
      </c>
      <c r="I151" s="23">
        <v>284996.25</v>
      </c>
      <c r="J151" s="17"/>
    </row>
    <row r="152" spans="1:10">
      <c r="A152" s="18" t="s">
        <v>884</v>
      </c>
      <c r="B152" s="20">
        <v>5</v>
      </c>
      <c r="C152" s="21" t="s">
        <v>460</v>
      </c>
      <c r="D152" s="21" t="s">
        <v>459</v>
      </c>
      <c r="E152" s="21" t="s">
        <v>1280</v>
      </c>
      <c r="F152" s="22">
        <v>109734.57</v>
      </c>
      <c r="G152" s="22">
        <v>104369.57</v>
      </c>
      <c r="H152" s="23">
        <v>504586.42000000004</v>
      </c>
      <c r="I152" s="23">
        <v>412321.31000000006</v>
      </c>
      <c r="J152" s="17"/>
    </row>
    <row r="153" spans="1:10">
      <c r="A153" s="18" t="s">
        <v>885</v>
      </c>
      <c r="B153" s="20">
        <v>5</v>
      </c>
      <c r="C153" s="21" t="s">
        <v>406</v>
      </c>
      <c r="D153" s="21" t="s">
        <v>405</v>
      </c>
      <c r="E153" s="21" t="s">
        <v>1279</v>
      </c>
      <c r="F153" s="22">
        <v>1025562.7199999994</v>
      </c>
      <c r="G153" s="22">
        <v>1022808.8200000001</v>
      </c>
      <c r="H153" s="23">
        <v>77378.959999999992</v>
      </c>
      <c r="I153" s="23">
        <v>6995.25</v>
      </c>
      <c r="J153" s="17"/>
    </row>
    <row r="154" spans="1:10">
      <c r="A154" s="18" t="s">
        <v>886</v>
      </c>
      <c r="B154" s="20">
        <v>5</v>
      </c>
      <c r="C154" s="21" t="s">
        <v>501</v>
      </c>
      <c r="D154" s="21" t="s">
        <v>405</v>
      </c>
      <c r="E154" s="21" t="s">
        <v>1279</v>
      </c>
      <c r="F154" s="22">
        <v>821931</v>
      </c>
      <c r="G154" s="22">
        <v>821115.64</v>
      </c>
      <c r="H154" s="23">
        <v>1069177.3500000001</v>
      </c>
      <c r="I154" s="23">
        <v>546747.99</v>
      </c>
      <c r="J154" s="17"/>
    </row>
    <row r="155" spans="1:10">
      <c r="A155" s="18" t="s">
        <v>887</v>
      </c>
      <c r="B155" s="20">
        <v>5</v>
      </c>
      <c r="C155" s="21" t="s">
        <v>529</v>
      </c>
      <c r="D155" s="21" t="s">
        <v>405</v>
      </c>
      <c r="E155" s="21" t="s">
        <v>1279</v>
      </c>
      <c r="F155" s="22">
        <v>12055.000000000004</v>
      </c>
      <c r="G155" s="22">
        <v>12055</v>
      </c>
      <c r="H155" s="23">
        <v>140259</v>
      </c>
      <c r="I155" s="23">
        <v>128459</v>
      </c>
      <c r="J155" s="17"/>
    </row>
    <row r="156" spans="1:10">
      <c r="A156" s="18" t="s">
        <v>888</v>
      </c>
      <c r="B156" s="20">
        <v>5</v>
      </c>
      <c r="C156" s="21" t="s">
        <v>222</v>
      </c>
      <c r="D156" s="21" t="s">
        <v>221</v>
      </c>
      <c r="E156" s="21" t="s">
        <v>1277</v>
      </c>
      <c r="F156" s="22">
        <v>396312.42999999993</v>
      </c>
      <c r="G156" s="22">
        <v>396312.42999999993</v>
      </c>
      <c r="H156" s="23">
        <v>109734.57</v>
      </c>
      <c r="I156" s="23">
        <v>11540</v>
      </c>
      <c r="J156" s="17"/>
    </row>
    <row r="157" spans="1:10">
      <c r="A157" s="18" t="s">
        <v>889</v>
      </c>
      <c r="B157" s="20">
        <v>5</v>
      </c>
      <c r="C157" s="21" t="s">
        <v>222</v>
      </c>
      <c r="D157" s="21" t="s">
        <v>256</v>
      </c>
      <c r="E157" s="21" t="s">
        <v>1277</v>
      </c>
      <c r="F157" s="22">
        <v>284996.25</v>
      </c>
      <c r="G157" s="22">
        <v>284996.25000000006</v>
      </c>
      <c r="H157" s="23">
        <v>194760.84</v>
      </c>
      <c r="I157" s="23">
        <v>194518.88000000003</v>
      </c>
      <c r="J157" s="17"/>
    </row>
    <row r="158" spans="1:10">
      <c r="A158" s="18" t="s">
        <v>890</v>
      </c>
      <c r="B158" s="20">
        <v>5</v>
      </c>
      <c r="C158" s="21" t="s">
        <v>351</v>
      </c>
      <c r="D158" s="21" t="s">
        <v>350</v>
      </c>
      <c r="E158" s="21" t="s">
        <v>1278</v>
      </c>
      <c r="F158" s="22">
        <v>500745.98</v>
      </c>
      <c r="G158" s="22">
        <v>500745.98</v>
      </c>
      <c r="H158" s="23">
        <v>166000</v>
      </c>
      <c r="I158" s="23">
        <v>164474.62</v>
      </c>
      <c r="J158" s="17"/>
    </row>
    <row r="159" spans="1:10">
      <c r="A159" s="18" t="s">
        <v>891</v>
      </c>
      <c r="B159" s="20">
        <v>5</v>
      </c>
      <c r="C159" s="21" t="s">
        <v>351</v>
      </c>
      <c r="D159" s="21" t="s">
        <v>392</v>
      </c>
      <c r="E159" s="21" t="s">
        <v>1278</v>
      </c>
      <c r="F159" s="22">
        <v>77378.959999999992</v>
      </c>
      <c r="G159" s="22">
        <v>63911.86</v>
      </c>
      <c r="H159" s="23">
        <v>821931</v>
      </c>
      <c r="I159" s="23">
        <v>0</v>
      </c>
      <c r="J159" s="17"/>
    </row>
    <row r="160" spans="1:10">
      <c r="A160" s="18" t="s">
        <v>892</v>
      </c>
      <c r="B160" s="20">
        <v>5</v>
      </c>
      <c r="C160" s="21" t="s">
        <v>627</v>
      </c>
      <c r="D160" s="21" t="s">
        <v>626</v>
      </c>
      <c r="E160" s="21" t="s">
        <v>1282</v>
      </c>
      <c r="F160" s="22">
        <v>165797.57999999999</v>
      </c>
      <c r="G160" s="22">
        <v>165797.57999999999</v>
      </c>
      <c r="H160" s="23">
        <v>12055</v>
      </c>
      <c r="I160" s="23">
        <v>12055</v>
      </c>
      <c r="J160" s="17"/>
    </row>
    <row r="161" spans="1:10">
      <c r="A161" s="18" t="s">
        <v>893</v>
      </c>
      <c r="B161" s="20">
        <v>5</v>
      </c>
      <c r="C161" s="21" t="s">
        <v>686</v>
      </c>
      <c r="D161" s="21" t="s">
        <v>685</v>
      </c>
      <c r="E161" s="21" t="s">
        <v>1286</v>
      </c>
      <c r="F161" s="22">
        <v>261955.77000000005</v>
      </c>
      <c r="G161" s="22">
        <v>261955.77</v>
      </c>
      <c r="H161" s="23">
        <v>2391913.9800000004</v>
      </c>
      <c r="I161" s="23">
        <v>1825258.72</v>
      </c>
      <c r="J161" s="17"/>
    </row>
    <row r="162" spans="1:10">
      <c r="A162" s="18" t="s">
        <v>894</v>
      </c>
      <c r="B162" s="20">
        <v>5</v>
      </c>
      <c r="C162" s="21" t="s">
        <v>170</v>
      </c>
      <c r="D162" s="21" t="s">
        <v>169</v>
      </c>
      <c r="E162" s="21" t="s">
        <v>1283</v>
      </c>
      <c r="F162" s="22">
        <v>2391913.9799999991</v>
      </c>
      <c r="G162" s="22">
        <v>2391913.9799999995</v>
      </c>
      <c r="H162" s="23">
        <v>109324.18</v>
      </c>
      <c r="I162" s="23">
        <v>100453.18</v>
      </c>
      <c r="J162" s="17"/>
    </row>
    <row r="163" spans="1:10">
      <c r="A163" s="18" t="s">
        <v>895</v>
      </c>
      <c r="B163" s="20">
        <v>5</v>
      </c>
      <c r="C163" s="21" t="s">
        <v>170</v>
      </c>
      <c r="D163" s="21" t="s">
        <v>407</v>
      </c>
      <c r="E163" s="21" t="s">
        <v>1283</v>
      </c>
      <c r="F163" s="22">
        <v>109324.18</v>
      </c>
      <c r="G163" s="22">
        <v>103959.18</v>
      </c>
      <c r="H163" s="23">
        <v>142714.5</v>
      </c>
      <c r="I163" s="23">
        <v>142714.5</v>
      </c>
      <c r="J163" s="17"/>
    </row>
    <row r="164" spans="1:10">
      <c r="A164" s="18" t="s">
        <v>896</v>
      </c>
      <c r="B164" s="20">
        <v>5</v>
      </c>
      <c r="C164" s="21" t="s">
        <v>688</v>
      </c>
      <c r="D164" s="21" t="s">
        <v>687</v>
      </c>
      <c r="E164" s="21" t="s">
        <v>1284</v>
      </c>
      <c r="F164" s="22">
        <v>142714.5</v>
      </c>
      <c r="G164" s="22">
        <v>142714.5</v>
      </c>
      <c r="H164" s="23">
        <v>1897074.5199999996</v>
      </c>
      <c r="I164" s="23">
        <v>1695636.57</v>
      </c>
      <c r="J164" s="17"/>
    </row>
    <row r="165" spans="1:10">
      <c r="A165" s="18" t="s">
        <v>897</v>
      </c>
      <c r="B165" s="20">
        <v>5</v>
      </c>
      <c r="C165" s="21" t="s">
        <v>418</v>
      </c>
      <c r="D165" s="21" t="s">
        <v>363</v>
      </c>
      <c r="E165" s="21" t="s">
        <v>1287</v>
      </c>
      <c r="F165" s="22">
        <v>6309371.8899999987</v>
      </c>
      <c r="G165" s="22">
        <v>5327486.330000001</v>
      </c>
      <c r="H165" s="23">
        <v>888705.01</v>
      </c>
      <c r="I165" s="23">
        <v>880476.01</v>
      </c>
      <c r="J165" s="17"/>
    </row>
    <row r="166" spans="1:10">
      <c r="A166" s="18" t="s">
        <v>898</v>
      </c>
      <c r="B166" s="20">
        <v>5</v>
      </c>
      <c r="C166" s="21" t="s">
        <v>418</v>
      </c>
      <c r="D166" s="21" t="s">
        <v>425</v>
      </c>
      <c r="E166" s="21" t="s">
        <v>1287</v>
      </c>
      <c r="F166" s="22">
        <v>3473237.23</v>
      </c>
      <c r="G166" s="22">
        <v>3103075.03</v>
      </c>
      <c r="H166" s="23">
        <v>261955.77000000002</v>
      </c>
      <c r="I166" s="23">
        <v>261955.77</v>
      </c>
      <c r="J166" s="17"/>
    </row>
    <row r="167" spans="1:10">
      <c r="A167" s="18" t="s">
        <v>899</v>
      </c>
      <c r="B167" s="20">
        <v>5</v>
      </c>
      <c r="C167" s="21" t="s">
        <v>364</v>
      </c>
      <c r="D167" s="21" t="s">
        <v>363</v>
      </c>
      <c r="E167" s="21" t="s">
        <v>1287</v>
      </c>
      <c r="F167" s="22">
        <v>666333.9</v>
      </c>
      <c r="G167" s="22">
        <v>285286.09999999998</v>
      </c>
      <c r="H167" s="23">
        <v>6532343.2199999997</v>
      </c>
      <c r="I167" s="23">
        <v>1531871.89</v>
      </c>
      <c r="J167" s="17"/>
    </row>
    <row r="168" spans="1:10">
      <c r="A168" s="18" t="s">
        <v>900</v>
      </c>
      <c r="B168" s="20">
        <v>5</v>
      </c>
      <c r="C168" s="21" t="s">
        <v>667</v>
      </c>
      <c r="D168" s="21" t="s">
        <v>666</v>
      </c>
      <c r="E168" s="21" t="s">
        <v>1289</v>
      </c>
      <c r="F168" s="22">
        <v>524061.76</v>
      </c>
      <c r="G168" s="22">
        <v>524061.76</v>
      </c>
      <c r="H168" s="23">
        <v>4860259.2799999993</v>
      </c>
      <c r="I168" s="23">
        <v>2176111.5499999998</v>
      </c>
      <c r="J168" s="17"/>
    </row>
    <row r="169" spans="1:10">
      <c r="A169" s="18" t="s">
        <v>901</v>
      </c>
      <c r="B169" s="20">
        <v>5</v>
      </c>
      <c r="C169" s="21" t="s">
        <v>384</v>
      </c>
      <c r="D169" s="21" t="s">
        <v>383</v>
      </c>
      <c r="E169" s="21" t="s">
        <v>1288</v>
      </c>
      <c r="F169" s="22">
        <v>81444.61000000003</v>
      </c>
      <c r="G169" s="22">
        <v>78844.33</v>
      </c>
      <c r="H169" s="23">
        <v>81444.61</v>
      </c>
      <c r="I169" s="23">
        <v>73371.61</v>
      </c>
      <c r="J169" s="17"/>
    </row>
    <row r="170" spans="1:10">
      <c r="A170" s="18" t="s">
        <v>902</v>
      </c>
      <c r="B170" s="20">
        <v>5</v>
      </c>
      <c r="C170" s="21" t="s">
        <v>179</v>
      </c>
      <c r="D170" s="21" t="s">
        <v>186</v>
      </c>
      <c r="E170" s="21" t="s">
        <v>1285</v>
      </c>
      <c r="F170" s="22">
        <v>1897074.5199999998</v>
      </c>
      <c r="G170" s="22">
        <v>1897074.5199999998</v>
      </c>
      <c r="H170" s="23">
        <v>524061.76</v>
      </c>
      <c r="I170" s="23">
        <v>524061.76</v>
      </c>
      <c r="J170" s="17"/>
    </row>
    <row r="171" spans="1:10">
      <c r="A171" s="18" t="s">
        <v>903</v>
      </c>
      <c r="B171" s="20">
        <v>5</v>
      </c>
      <c r="C171" s="21" t="s">
        <v>179</v>
      </c>
      <c r="D171" s="21" t="s">
        <v>178</v>
      </c>
      <c r="E171" s="21" t="s">
        <v>1285</v>
      </c>
      <c r="F171" s="22">
        <v>888705.01000000013</v>
      </c>
      <c r="G171" s="22">
        <v>886277.99</v>
      </c>
      <c r="H171" s="23">
        <v>666333.9</v>
      </c>
      <c r="I171" s="23">
        <v>53068.1</v>
      </c>
      <c r="J171" s="17"/>
    </row>
    <row r="172" spans="1:10">
      <c r="A172" s="18" t="s">
        <v>904</v>
      </c>
      <c r="B172" s="20">
        <v>5</v>
      </c>
      <c r="C172" s="21" t="s">
        <v>288</v>
      </c>
      <c r="D172" s="21" t="s">
        <v>287</v>
      </c>
      <c r="E172" s="21" t="s">
        <v>1336</v>
      </c>
      <c r="F172" s="22">
        <v>1478633.2799999998</v>
      </c>
      <c r="G172" s="22">
        <v>1478633.2800000005</v>
      </c>
      <c r="H172" s="23">
        <v>551044</v>
      </c>
      <c r="I172" s="23">
        <v>546484</v>
      </c>
      <c r="J172" s="17"/>
    </row>
    <row r="173" spans="1:10">
      <c r="A173" s="18" t="s">
        <v>905</v>
      </c>
      <c r="B173" s="20">
        <v>5</v>
      </c>
      <c r="C173" s="21" t="s">
        <v>288</v>
      </c>
      <c r="D173" s="21" t="s">
        <v>458</v>
      </c>
      <c r="E173" s="21" t="s">
        <v>1336</v>
      </c>
      <c r="F173" s="22">
        <v>72836.149999999994</v>
      </c>
      <c r="G173" s="22">
        <v>67088.149999999994</v>
      </c>
      <c r="H173" s="23">
        <v>638588.62999999989</v>
      </c>
      <c r="I173" s="23">
        <v>637857.46999999986</v>
      </c>
      <c r="J173" s="17"/>
    </row>
    <row r="174" spans="1:10">
      <c r="A174" s="18" t="s">
        <v>906</v>
      </c>
      <c r="B174" s="20">
        <v>5</v>
      </c>
      <c r="C174" s="21" t="s">
        <v>368</v>
      </c>
      <c r="D174" s="21" t="s">
        <v>465</v>
      </c>
      <c r="E174" s="21" t="s">
        <v>1334</v>
      </c>
      <c r="F174" s="22">
        <v>404692</v>
      </c>
      <c r="G174" s="22">
        <v>213848.06</v>
      </c>
      <c r="H174" s="23">
        <v>774000</v>
      </c>
      <c r="I174" s="23">
        <v>774000</v>
      </c>
      <c r="J174" s="17"/>
    </row>
    <row r="175" spans="1:10">
      <c r="A175" s="18" t="s">
        <v>907</v>
      </c>
      <c r="B175" s="20">
        <v>5</v>
      </c>
      <c r="C175" s="21" t="s">
        <v>368</v>
      </c>
      <c r="D175" s="21" t="s">
        <v>367</v>
      </c>
      <c r="E175" s="21" t="s">
        <v>1334</v>
      </c>
      <c r="F175" s="22">
        <v>26554</v>
      </c>
      <c r="G175" s="22">
        <v>4492.5499999999993</v>
      </c>
      <c r="H175" s="23">
        <v>20745</v>
      </c>
      <c r="I175" s="23">
        <v>20745</v>
      </c>
      <c r="J175" s="17"/>
    </row>
    <row r="176" spans="1:10">
      <c r="A176" s="18" t="s">
        <v>908</v>
      </c>
      <c r="B176" s="20">
        <v>5</v>
      </c>
      <c r="C176" s="21" t="s">
        <v>371</v>
      </c>
      <c r="D176" s="21" t="s">
        <v>370</v>
      </c>
      <c r="E176" s="21" t="s">
        <v>1335</v>
      </c>
      <c r="F176" s="22">
        <v>2235395.0699999998</v>
      </c>
      <c r="G176" s="24"/>
      <c r="H176" s="23">
        <v>74999.33</v>
      </c>
      <c r="I176" s="23">
        <v>32218.100000000002</v>
      </c>
      <c r="J176" s="17"/>
    </row>
    <row r="177" spans="1:10">
      <c r="A177" s="18" t="s">
        <v>909</v>
      </c>
      <c r="B177" s="20">
        <v>5</v>
      </c>
      <c r="C177" s="21" t="s">
        <v>453</v>
      </c>
      <c r="D177" s="21" t="s">
        <v>452</v>
      </c>
      <c r="E177" s="21" t="s">
        <v>1337</v>
      </c>
      <c r="F177" s="22">
        <v>110739.69</v>
      </c>
      <c r="G177" s="22">
        <v>104608.69</v>
      </c>
      <c r="H177" s="23">
        <v>95119</v>
      </c>
      <c r="I177" s="23">
        <v>90559</v>
      </c>
      <c r="J177" s="17"/>
    </row>
    <row r="178" spans="1:10">
      <c r="A178" s="18" t="s">
        <v>910</v>
      </c>
      <c r="B178" s="20">
        <v>5</v>
      </c>
      <c r="C178" s="21" t="s">
        <v>439</v>
      </c>
      <c r="D178" s="21" t="s">
        <v>438</v>
      </c>
      <c r="E178" s="21" t="s">
        <v>1338</v>
      </c>
      <c r="F178" s="22">
        <v>129750.08000000002</v>
      </c>
      <c r="G178" s="22">
        <v>124002.08</v>
      </c>
      <c r="H178" s="23">
        <v>95119</v>
      </c>
      <c r="I178" s="23">
        <v>90559</v>
      </c>
      <c r="J178" s="17"/>
    </row>
    <row r="179" spans="1:10">
      <c r="A179" s="18" t="s">
        <v>911</v>
      </c>
      <c r="B179" s="20">
        <v>5</v>
      </c>
      <c r="C179" s="21" t="s">
        <v>448</v>
      </c>
      <c r="D179" s="21" t="s">
        <v>447</v>
      </c>
      <c r="E179" s="21" t="s">
        <v>1415</v>
      </c>
      <c r="F179" s="22">
        <v>59388</v>
      </c>
      <c r="G179" s="22">
        <v>59388</v>
      </c>
      <c r="H179" s="23">
        <v>2705925.0900000003</v>
      </c>
      <c r="I179" s="23">
        <v>2192952.59</v>
      </c>
      <c r="J179" s="17"/>
    </row>
    <row r="180" spans="1:10">
      <c r="A180" s="18" t="s">
        <v>912</v>
      </c>
      <c r="B180" s="20">
        <v>6</v>
      </c>
      <c r="C180" s="21" t="s">
        <v>526</v>
      </c>
      <c r="D180" s="21" t="s">
        <v>525</v>
      </c>
      <c r="E180" s="21" t="s">
        <v>1234</v>
      </c>
      <c r="F180" s="22">
        <v>38654.599999999984</v>
      </c>
      <c r="G180" s="22">
        <v>38654.6</v>
      </c>
      <c r="H180" s="23">
        <v>29411</v>
      </c>
      <c r="I180" s="23">
        <v>29411.000000000004</v>
      </c>
      <c r="J180" s="17"/>
    </row>
    <row r="181" spans="1:10" ht="25.5">
      <c r="A181" s="18" t="s">
        <v>913</v>
      </c>
      <c r="B181" s="20">
        <v>6</v>
      </c>
      <c r="C181" s="21" t="s">
        <v>446</v>
      </c>
      <c r="D181" s="21" t="s">
        <v>445</v>
      </c>
      <c r="E181" s="21" t="s">
        <v>1235</v>
      </c>
      <c r="F181" s="22">
        <v>565272.28</v>
      </c>
      <c r="G181" s="22">
        <v>565272.27999999991</v>
      </c>
      <c r="H181" s="23">
        <v>104225.42</v>
      </c>
      <c r="I181" s="23">
        <v>99665.42</v>
      </c>
      <c r="J181" s="17"/>
    </row>
    <row r="182" spans="1:10" ht="25.5">
      <c r="A182" s="18" t="s">
        <v>914</v>
      </c>
      <c r="B182" s="20">
        <v>6</v>
      </c>
      <c r="C182" s="21" t="s">
        <v>446</v>
      </c>
      <c r="D182" s="21" t="s">
        <v>520</v>
      </c>
      <c r="E182" s="21" t="s">
        <v>1235</v>
      </c>
      <c r="F182" s="22">
        <v>77654</v>
      </c>
      <c r="G182" s="22">
        <v>42601.85</v>
      </c>
      <c r="H182" s="23">
        <v>29788</v>
      </c>
      <c r="I182" s="23">
        <v>29788</v>
      </c>
      <c r="J182" s="17"/>
    </row>
    <row r="183" spans="1:10" ht="25.5">
      <c r="A183" s="18" t="s">
        <v>915</v>
      </c>
      <c r="B183" s="20">
        <v>6</v>
      </c>
      <c r="C183" s="21" t="s">
        <v>446</v>
      </c>
      <c r="D183" s="21" t="s">
        <v>527</v>
      </c>
      <c r="E183" s="21" t="s">
        <v>1235</v>
      </c>
      <c r="F183" s="22">
        <v>14874.599999999999</v>
      </c>
      <c r="G183" s="22">
        <v>14874.6</v>
      </c>
      <c r="H183" s="23">
        <v>31147.399999999994</v>
      </c>
      <c r="I183" s="23">
        <v>31147.4</v>
      </c>
      <c r="J183" s="17"/>
    </row>
    <row r="184" spans="1:10" ht="25.5">
      <c r="A184" s="18" t="s">
        <v>916</v>
      </c>
      <c r="B184" s="20">
        <v>6</v>
      </c>
      <c r="C184" s="21" t="s">
        <v>446</v>
      </c>
      <c r="D184" s="21" t="s">
        <v>653</v>
      </c>
      <c r="E184" s="21" t="s">
        <v>1235</v>
      </c>
      <c r="F184" s="22">
        <v>896985</v>
      </c>
      <c r="G184" s="22">
        <v>896985</v>
      </c>
      <c r="H184" s="23">
        <v>469874.11999999988</v>
      </c>
      <c r="I184" s="23">
        <v>469874.12</v>
      </c>
      <c r="J184" s="17"/>
    </row>
    <row r="185" spans="1:10" ht="25.5">
      <c r="A185" s="18" t="s">
        <v>917</v>
      </c>
      <c r="B185" s="20">
        <v>6</v>
      </c>
      <c r="C185" s="21" t="s">
        <v>49</v>
      </c>
      <c r="D185" s="21" t="s">
        <v>48</v>
      </c>
      <c r="E185" s="21" t="s">
        <v>1259</v>
      </c>
      <c r="F185" s="22">
        <v>2339604.4500000002</v>
      </c>
      <c r="G185" s="22">
        <v>2339604.4500000002</v>
      </c>
      <c r="H185" s="23">
        <v>78340.42</v>
      </c>
      <c r="I185" s="23">
        <v>73780.42</v>
      </c>
      <c r="J185" s="17"/>
    </row>
    <row r="186" spans="1:10" ht="25.5">
      <c r="A186" s="18" t="s">
        <v>918</v>
      </c>
      <c r="B186" s="20">
        <v>6</v>
      </c>
      <c r="C186" s="21" t="s">
        <v>49</v>
      </c>
      <c r="D186" s="21" t="s">
        <v>530</v>
      </c>
      <c r="E186" s="21" t="s">
        <v>1259</v>
      </c>
      <c r="F186" s="22">
        <v>98822.54</v>
      </c>
      <c r="G186" s="22">
        <v>81424.74000000002</v>
      </c>
      <c r="H186" s="23">
        <v>229093.7</v>
      </c>
      <c r="I186" s="23">
        <v>229093.7</v>
      </c>
      <c r="J186" s="17"/>
    </row>
    <row r="187" spans="1:10" ht="25.5">
      <c r="A187" s="18" t="s">
        <v>919</v>
      </c>
      <c r="B187" s="20">
        <v>6</v>
      </c>
      <c r="C187" s="21" t="s">
        <v>49</v>
      </c>
      <c r="D187" s="21" t="s">
        <v>483</v>
      </c>
      <c r="E187" s="21" t="s">
        <v>1259</v>
      </c>
      <c r="F187" s="22">
        <v>227005.56</v>
      </c>
      <c r="G187" s="22">
        <v>227005.56</v>
      </c>
      <c r="H187" s="23">
        <v>196845.41999999998</v>
      </c>
      <c r="I187" s="23">
        <v>187985.42</v>
      </c>
      <c r="J187" s="17"/>
    </row>
    <row r="188" spans="1:10" ht="25.5">
      <c r="A188" s="18" t="s">
        <v>921</v>
      </c>
      <c r="B188" s="20">
        <v>6</v>
      </c>
      <c r="C188" s="21" t="s">
        <v>49</v>
      </c>
      <c r="D188" s="21" t="s">
        <v>546</v>
      </c>
      <c r="E188" s="21" t="s">
        <v>1259</v>
      </c>
      <c r="F188" s="22">
        <v>116271.34999999998</v>
      </c>
      <c r="G188" s="22">
        <v>116271.35</v>
      </c>
      <c r="H188" s="23">
        <v>481971.65999999992</v>
      </c>
      <c r="I188" s="23">
        <v>481971.66000000003</v>
      </c>
      <c r="J188" s="17"/>
    </row>
    <row r="189" spans="1:10">
      <c r="A189" s="18" t="s">
        <v>922</v>
      </c>
      <c r="B189" s="20">
        <v>6</v>
      </c>
      <c r="C189" s="21" t="s">
        <v>98</v>
      </c>
      <c r="D189" s="21" t="s">
        <v>97</v>
      </c>
      <c r="E189" s="21" t="s">
        <v>1291</v>
      </c>
      <c r="F189" s="22">
        <v>638588.62999999989</v>
      </c>
      <c r="G189" s="22">
        <v>638588.63</v>
      </c>
      <c r="H189" s="23">
        <v>36338.420000000006</v>
      </c>
      <c r="I189" s="23">
        <v>36338.42</v>
      </c>
      <c r="J189" s="17"/>
    </row>
    <row r="190" spans="1:10">
      <c r="A190" s="18" t="s">
        <v>923</v>
      </c>
      <c r="B190" s="20">
        <v>6</v>
      </c>
      <c r="C190" s="21" t="s">
        <v>98</v>
      </c>
      <c r="D190" s="21" t="s">
        <v>395</v>
      </c>
      <c r="E190" s="21" t="s">
        <v>1291</v>
      </c>
      <c r="F190" s="22">
        <v>774000</v>
      </c>
      <c r="G190" s="22">
        <v>774000</v>
      </c>
      <c r="H190" s="23">
        <v>164859.40000000002</v>
      </c>
      <c r="I190" s="23">
        <v>164859.4</v>
      </c>
      <c r="J190" s="17"/>
    </row>
    <row r="191" spans="1:10">
      <c r="A191" s="18" t="s">
        <v>924</v>
      </c>
      <c r="B191" s="20">
        <v>6</v>
      </c>
      <c r="C191" s="21" t="s">
        <v>98</v>
      </c>
      <c r="D191" s="21" t="s">
        <v>689</v>
      </c>
      <c r="E191" s="21" t="s">
        <v>1291</v>
      </c>
      <c r="F191" s="22">
        <v>20745</v>
      </c>
      <c r="G191" s="22">
        <v>20745</v>
      </c>
      <c r="H191" s="23">
        <v>515026.94999999995</v>
      </c>
      <c r="I191" s="23">
        <v>515026.95</v>
      </c>
      <c r="J191" s="17"/>
    </row>
    <row r="192" spans="1:10">
      <c r="A192" s="18" t="s">
        <v>925</v>
      </c>
      <c r="B192" s="20">
        <v>6</v>
      </c>
      <c r="C192" s="21" t="s">
        <v>522</v>
      </c>
      <c r="D192" s="21" t="s">
        <v>521</v>
      </c>
      <c r="E192" s="21" t="s">
        <v>1439</v>
      </c>
      <c r="F192" s="22">
        <v>36600.5</v>
      </c>
      <c r="G192" s="22">
        <v>36600.499999999993</v>
      </c>
      <c r="H192" s="23">
        <v>36338.42</v>
      </c>
      <c r="I192" s="23">
        <v>36338.42</v>
      </c>
      <c r="J192" s="17"/>
    </row>
    <row r="193" spans="1:10">
      <c r="A193" s="18" t="s">
        <v>926</v>
      </c>
      <c r="B193" s="20">
        <v>6</v>
      </c>
      <c r="C193" s="21" t="s">
        <v>263</v>
      </c>
      <c r="D193" s="21" t="s">
        <v>262</v>
      </c>
      <c r="E193" s="21" t="s">
        <v>1294</v>
      </c>
      <c r="F193" s="22">
        <v>2705912</v>
      </c>
      <c r="G193" s="22">
        <v>2705912</v>
      </c>
      <c r="H193" s="23">
        <v>142175.41999999998</v>
      </c>
      <c r="I193" s="23">
        <v>137615.42000000001</v>
      </c>
      <c r="J193" s="17"/>
    </row>
    <row r="194" spans="1:10" ht="25.5">
      <c r="A194" s="18" t="s">
        <v>930</v>
      </c>
      <c r="B194" s="20">
        <v>6</v>
      </c>
      <c r="C194" s="21" t="s">
        <v>198</v>
      </c>
      <c r="D194" s="21" t="s">
        <v>428</v>
      </c>
      <c r="E194" s="21" t="s">
        <v>1298</v>
      </c>
      <c r="F194" s="22">
        <v>229093.7</v>
      </c>
      <c r="G194" s="22">
        <v>229093.70000000004</v>
      </c>
      <c r="H194" s="23">
        <v>14587.399999999996</v>
      </c>
      <c r="I194" s="23">
        <v>14587.4</v>
      </c>
      <c r="J194" s="17"/>
    </row>
    <row r="195" spans="1:10" ht="25.5">
      <c r="A195" s="18" t="s">
        <v>931</v>
      </c>
      <c r="B195" s="20">
        <v>6</v>
      </c>
      <c r="C195" s="21" t="s">
        <v>204</v>
      </c>
      <c r="D195" s="21" t="s">
        <v>492</v>
      </c>
      <c r="E195" s="21" t="s">
        <v>1298</v>
      </c>
      <c r="F195" s="22">
        <v>164859.40000000002</v>
      </c>
      <c r="G195" s="22">
        <v>164859.39999999997</v>
      </c>
      <c r="H195" s="23">
        <v>583740</v>
      </c>
      <c r="I195" s="23">
        <v>583740</v>
      </c>
      <c r="J195" s="17"/>
    </row>
    <row r="196" spans="1:10" ht="25.5">
      <c r="A196" s="18" t="s">
        <v>932</v>
      </c>
      <c r="B196" s="20">
        <v>6</v>
      </c>
      <c r="C196" s="21" t="s">
        <v>386</v>
      </c>
      <c r="D196" s="21" t="s">
        <v>437</v>
      </c>
      <c r="E196" s="21" t="s">
        <v>1298</v>
      </c>
      <c r="F196" s="22">
        <v>117191.00000000001</v>
      </c>
      <c r="G196" s="22">
        <v>117191</v>
      </c>
      <c r="H196" s="23">
        <v>36338.420000000006</v>
      </c>
      <c r="I196" s="23">
        <v>36338.42</v>
      </c>
      <c r="J196" s="17"/>
    </row>
    <row r="197" spans="1:10" ht="25.5">
      <c r="A197" s="18" t="s">
        <v>937</v>
      </c>
      <c r="B197" s="20">
        <v>6</v>
      </c>
      <c r="C197" s="21" t="s">
        <v>366</v>
      </c>
      <c r="D197" s="21" t="s">
        <v>365</v>
      </c>
      <c r="E197" s="21" t="s">
        <v>1298</v>
      </c>
      <c r="F197" s="22">
        <v>298446</v>
      </c>
      <c r="G197" s="22">
        <v>298446</v>
      </c>
      <c r="H197" s="23">
        <v>183565.37</v>
      </c>
      <c r="I197" s="23">
        <v>183565.36999999997</v>
      </c>
      <c r="J197" s="17"/>
    </row>
    <row r="198" spans="1:10" ht="25.5">
      <c r="A198" s="18" t="s">
        <v>938</v>
      </c>
      <c r="B198" s="20">
        <v>6</v>
      </c>
      <c r="C198" s="21" t="s">
        <v>198</v>
      </c>
      <c r="D198" s="21" t="s">
        <v>197</v>
      </c>
      <c r="E198" s="21" t="s">
        <v>1297</v>
      </c>
      <c r="F198" s="22">
        <v>469874.12</v>
      </c>
      <c r="G198" s="22">
        <v>469874.12</v>
      </c>
      <c r="H198" s="23">
        <v>167471.70000000001</v>
      </c>
      <c r="I198" s="23">
        <v>167471.69999999998</v>
      </c>
      <c r="J198" s="17"/>
    </row>
    <row r="199" spans="1:10" ht="25.5">
      <c r="A199" s="18" t="s">
        <v>939</v>
      </c>
      <c r="B199" s="20">
        <v>6</v>
      </c>
      <c r="C199" s="21" t="s">
        <v>204</v>
      </c>
      <c r="D199" s="21" t="s">
        <v>203</v>
      </c>
      <c r="E199" s="21" t="s">
        <v>1297</v>
      </c>
      <c r="F199" s="22">
        <v>481971.66</v>
      </c>
      <c r="G199" s="22">
        <v>481971.66000000003</v>
      </c>
      <c r="H199" s="23">
        <v>76017</v>
      </c>
      <c r="I199" s="23">
        <v>76017</v>
      </c>
      <c r="J199" s="17"/>
    </row>
    <row r="200" spans="1:10" ht="25.5">
      <c r="A200" s="18" t="s">
        <v>940</v>
      </c>
      <c r="B200" s="20">
        <v>6</v>
      </c>
      <c r="C200" s="21" t="s">
        <v>196</v>
      </c>
      <c r="D200" s="21" t="s">
        <v>195</v>
      </c>
      <c r="E200" s="21" t="s">
        <v>1297</v>
      </c>
      <c r="F200" s="22">
        <v>515026.95</v>
      </c>
      <c r="G200" s="22">
        <v>515026.95</v>
      </c>
      <c r="H200" s="23">
        <v>165614.97</v>
      </c>
      <c r="I200" s="23">
        <v>165614.97</v>
      </c>
      <c r="J200" s="17"/>
    </row>
    <row r="201" spans="1:10" ht="25.5">
      <c r="A201" s="18" t="s">
        <v>941</v>
      </c>
      <c r="B201" s="20">
        <v>6</v>
      </c>
      <c r="C201" s="21" t="s">
        <v>200</v>
      </c>
      <c r="D201" s="21" t="s">
        <v>199</v>
      </c>
      <c r="E201" s="21" t="s">
        <v>1297</v>
      </c>
      <c r="F201" s="22">
        <v>165614.97</v>
      </c>
      <c r="G201" s="22">
        <v>165614.97</v>
      </c>
      <c r="H201" s="23">
        <v>40115</v>
      </c>
      <c r="I201" s="23">
        <v>1897.8</v>
      </c>
      <c r="J201" s="17"/>
    </row>
    <row r="202" spans="1:10" ht="25.5">
      <c r="A202" s="18" t="s">
        <v>945</v>
      </c>
      <c r="B202" s="20">
        <v>6</v>
      </c>
      <c r="C202" s="21" t="s">
        <v>202</v>
      </c>
      <c r="D202" s="21" t="s">
        <v>201</v>
      </c>
      <c r="E202" s="21" t="s">
        <v>1299</v>
      </c>
      <c r="F202" s="22">
        <v>604956.82999999996</v>
      </c>
      <c r="G202" s="22">
        <v>604956.83000000007</v>
      </c>
      <c r="H202" s="23">
        <v>76547</v>
      </c>
      <c r="I202" s="23">
        <v>20497</v>
      </c>
      <c r="J202" s="17"/>
    </row>
    <row r="203" spans="1:10" ht="25.5">
      <c r="A203" s="18" t="s">
        <v>946</v>
      </c>
      <c r="B203" s="20">
        <v>6</v>
      </c>
      <c r="C203" s="21" t="s">
        <v>210</v>
      </c>
      <c r="D203" s="21" t="s">
        <v>209</v>
      </c>
      <c r="E203" s="21" t="s">
        <v>1299</v>
      </c>
      <c r="F203" s="22">
        <v>557721.81999999995</v>
      </c>
      <c r="G203" s="22">
        <v>557721.82000000007</v>
      </c>
      <c r="H203" s="23">
        <v>52737</v>
      </c>
      <c r="I203" s="23">
        <v>4747.6499999999996</v>
      </c>
      <c r="J203" s="17"/>
    </row>
    <row r="204" spans="1:10" ht="25.5">
      <c r="A204" s="18" t="s">
        <v>947</v>
      </c>
      <c r="B204" s="20">
        <v>6</v>
      </c>
      <c r="C204" s="21" t="s">
        <v>386</v>
      </c>
      <c r="D204" s="21" t="s">
        <v>385</v>
      </c>
      <c r="E204" s="21" t="s">
        <v>1299</v>
      </c>
      <c r="F204" s="22">
        <v>583740</v>
      </c>
      <c r="G204" s="22">
        <v>583740</v>
      </c>
      <c r="H204" s="23">
        <v>1234236.1599999999</v>
      </c>
      <c r="I204" s="23">
        <v>540867.22</v>
      </c>
      <c r="J204" s="17"/>
    </row>
    <row r="205" spans="1:10" ht="25.5">
      <c r="A205" s="18" t="s">
        <v>949</v>
      </c>
      <c r="B205" s="20">
        <v>6</v>
      </c>
      <c r="C205" s="21" t="s">
        <v>194</v>
      </c>
      <c r="D205" s="21" t="s">
        <v>193</v>
      </c>
      <c r="E205" s="21" t="s">
        <v>1299</v>
      </c>
      <c r="F205" s="22">
        <v>594602.98</v>
      </c>
      <c r="G205" s="22">
        <v>594602.98</v>
      </c>
      <c r="H205" s="23">
        <v>1853643.1400000001</v>
      </c>
      <c r="I205" s="23">
        <v>1842018.1400000001</v>
      </c>
      <c r="J205" s="17"/>
    </row>
    <row r="206" spans="1:10" ht="25.5">
      <c r="A206" s="18" t="s">
        <v>950</v>
      </c>
      <c r="B206" s="20">
        <v>6</v>
      </c>
      <c r="C206" s="21" t="s">
        <v>472</v>
      </c>
      <c r="D206" s="21" t="s">
        <v>471</v>
      </c>
      <c r="E206" s="21" t="s">
        <v>1299</v>
      </c>
      <c r="F206" s="22">
        <v>183565.36999999997</v>
      </c>
      <c r="G206" s="22">
        <v>183565.36999999997</v>
      </c>
      <c r="H206" s="23">
        <v>53273.01</v>
      </c>
      <c r="I206" s="23">
        <v>20116.510000000002</v>
      </c>
      <c r="J206" s="17"/>
    </row>
    <row r="207" spans="1:10" ht="25.5">
      <c r="A207" s="18" t="s">
        <v>951</v>
      </c>
      <c r="B207" s="20">
        <v>6</v>
      </c>
      <c r="C207" s="21" t="s">
        <v>503</v>
      </c>
      <c r="D207" s="21" t="s">
        <v>502</v>
      </c>
      <c r="E207" s="21" t="s">
        <v>1299</v>
      </c>
      <c r="F207" s="22">
        <v>167471.70000000001</v>
      </c>
      <c r="G207" s="22">
        <v>167471.69999999998</v>
      </c>
      <c r="H207" s="23">
        <v>61942.09</v>
      </c>
      <c r="I207" s="23">
        <v>48984.6</v>
      </c>
      <c r="J207" s="17"/>
    </row>
    <row r="208" spans="1:10" ht="25.5">
      <c r="A208" s="18" t="s">
        <v>952</v>
      </c>
      <c r="B208" s="20">
        <v>6</v>
      </c>
      <c r="C208" s="21" t="s">
        <v>457</v>
      </c>
      <c r="D208" s="21" t="s">
        <v>456</v>
      </c>
      <c r="E208" s="21" t="s">
        <v>1299</v>
      </c>
      <c r="F208" s="22">
        <v>76017</v>
      </c>
      <c r="G208" s="22">
        <v>76017</v>
      </c>
      <c r="H208" s="23">
        <v>56387.729999999996</v>
      </c>
      <c r="I208" s="23">
        <v>38007.61</v>
      </c>
      <c r="J208" s="17"/>
    </row>
    <row r="209" spans="1:10">
      <c r="A209" s="18" t="s">
        <v>954</v>
      </c>
      <c r="B209" s="20">
        <v>6</v>
      </c>
      <c r="C209" s="21" t="s">
        <v>389</v>
      </c>
      <c r="D209" s="21" t="s">
        <v>388</v>
      </c>
      <c r="E209" s="21" t="s">
        <v>1295</v>
      </c>
      <c r="F209" s="22">
        <v>552144</v>
      </c>
      <c r="G209" s="22">
        <v>546484</v>
      </c>
      <c r="H209" s="23">
        <v>1165522.8299999998</v>
      </c>
      <c r="I209" s="23">
        <v>1080507.45</v>
      </c>
      <c r="J209" s="17"/>
    </row>
    <row r="210" spans="1:10">
      <c r="A210" s="18" t="s">
        <v>955</v>
      </c>
      <c r="B210" s="20">
        <v>6</v>
      </c>
      <c r="C210" s="21" t="s">
        <v>361</v>
      </c>
      <c r="D210" s="21" t="s">
        <v>360</v>
      </c>
      <c r="E210" s="21" t="s">
        <v>1295</v>
      </c>
      <c r="F210" s="22">
        <v>95119</v>
      </c>
      <c r="G210" s="22">
        <v>90559</v>
      </c>
      <c r="H210" s="23">
        <v>50730.000000000007</v>
      </c>
      <c r="I210" s="23">
        <v>50730.000000000007</v>
      </c>
      <c r="J210" s="17"/>
    </row>
    <row r="211" spans="1:10">
      <c r="A211" s="18" t="s">
        <v>956</v>
      </c>
      <c r="B211" s="20">
        <v>6</v>
      </c>
      <c r="C211" s="21" t="s">
        <v>467</v>
      </c>
      <c r="D211" s="21" t="s">
        <v>466</v>
      </c>
      <c r="E211" s="21" t="s">
        <v>1295</v>
      </c>
      <c r="F211" s="22">
        <v>95119</v>
      </c>
      <c r="G211" s="22">
        <v>90559</v>
      </c>
      <c r="H211" s="23">
        <v>446504.82</v>
      </c>
      <c r="I211" s="23">
        <v>446504.82</v>
      </c>
      <c r="J211" s="17"/>
    </row>
    <row r="212" spans="1:10">
      <c r="A212" s="18" t="s">
        <v>957</v>
      </c>
      <c r="B212" s="20">
        <v>6</v>
      </c>
      <c r="C212" s="21" t="s">
        <v>444</v>
      </c>
      <c r="D212" s="21" t="s">
        <v>443</v>
      </c>
      <c r="E212" s="21" t="s">
        <v>1295</v>
      </c>
      <c r="F212" s="22">
        <v>29411</v>
      </c>
      <c r="G212" s="22">
        <v>29411</v>
      </c>
      <c r="H212" s="23">
        <v>243563.64</v>
      </c>
      <c r="I212" s="23">
        <v>215940.2</v>
      </c>
      <c r="J212" s="17"/>
    </row>
    <row r="213" spans="1:10">
      <c r="A213" s="18" t="s">
        <v>958</v>
      </c>
      <c r="B213" s="20">
        <v>6</v>
      </c>
      <c r="C213" s="21" t="s">
        <v>489</v>
      </c>
      <c r="D213" s="21" t="s">
        <v>488</v>
      </c>
      <c r="E213" s="21" t="s">
        <v>1295</v>
      </c>
      <c r="F213" s="22">
        <v>104225.41999999998</v>
      </c>
      <c r="G213" s="22">
        <v>99665.42</v>
      </c>
      <c r="H213" s="23">
        <v>50730.000000000007</v>
      </c>
      <c r="I213" s="23">
        <v>50730</v>
      </c>
      <c r="J213" s="17"/>
    </row>
    <row r="214" spans="1:10">
      <c r="A214" s="18" t="s">
        <v>961</v>
      </c>
      <c r="B214" s="20">
        <v>6</v>
      </c>
      <c r="C214" s="21" t="s">
        <v>505</v>
      </c>
      <c r="D214" s="21" t="s">
        <v>504</v>
      </c>
      <c r="E214" s="21" t="s">
        <v>1295</v>
      </c>
      <c r="F214" s="22">
        <v>29788</v>
      </c>
      <c r="G214" s="22">
        <v>29788</v>
      </c>
      <c r="H214" s="23">
        <v>9435</v>
      </c>
      <c r="I214" s="23">
        <v>9435</v>
      </c>
      <c r="J214" s="17"/>
    </row>
    <row r="215" spans="1:10">
      <c r="A215" s="18" t="s">
        <v>962</v>
      </c>
      <c r="B215" s="20">
        <v>6</v>
      </c>
      <c r="C215" s="21" t="s">
        <v>441</v>
      </c>
      <c r="D215" s="21" t="s">
        <v>440</v>
      </c>
      <c r="E215" s="21" t="s">
        <v>1295</v>
      </c>
      <c r="F215" s="22">
        <v>31147.4</v>
      </c>
      <c r="G215" s="22">
        <v>31147.4</v>
      </c>
      <c r="H215" s="23">
        <v>98973.88</v>
      </c>
      <c r="I215" s="23">
        <v>98973.88</v>
      </c>
      <c r="J215" s="17"/>
    </row>
    <row r="216" spans="1:10">
      <c r="A216" s="18" t="s">
        <v>963</v>
      </c>
      <c r="B216" s="20">
        <v>6</v>
      </c>
      <c r="C216" s="21" t="s">
        <v>198</v>
      </c>
      <c r="D216" s="21" t="s">
        <v>429</v>
      </c>
      <c r="E216" s="21" t="s">
        <v>1295</v>
      </c>
      <c r="F216" s="22">
        <v>78340.420000000013</v>
      </c>
      <c r="G216" s="22">
        <v>73780.42</v>
      </c>
      <c r="H216" s="23">
        <v>189015.67</v>
      </c>
      <c r="I216" s="23">
        <v>20590</v>
      </c>
      <c r="J216" s="17"/>
    </row>
    <row r="217" spans="1:10">
      <c r="A217" s="18" t="s">
        <v>968</v>
      </c>
      <c r="B217" s="20">
        <v>6</v>
      </c>
      <c r="C217" s="21" t="s">
        <v>435</v>
      </c>
      <c r="D217" s="21" t="s">
        <v>434</v>
      </c>
      <c r="E217" s="21" t="s">
        <v>1295</v>
      </c>
      <c r="F217" s="22">
        <v>196845.42000000004</v>
      </c>
      <c r="G217" s="22">
        <v>187985.42</v>
      </c>
      <c r="H217" s="23">
        <v>124484.10999999999</v>
      </c>
      <c r="I217" s="23">
        <v>120049.51</v>
      </c>
      <c r="J217" s="17"/>
    </row>
    <row r="218" spans="1:10">
      <c r="A218" s="18" t="s">
        <v>969</v>
      </c>
      <c r="B218" s="20">
        <v>6</v>
      </c>
      <c r="C218" s="21" t="s">
        <v>397</v>
      </c>
      <c r="D218" s="21" t="s">
        <v>396</v>
      </c>
      <c r="E218" s="21" t="s">
        <v>1295</v>
      </c>
      <c r="F218" s="22">
        <v>36338.42</v>
      </c>
      <c r="G218" s="22">
        <v>36338.42</v>
      </c>
      <c r="H218" s="23">
        <v>108656.35</v>
      </c>
      <c r="I218" s="23">
        <v>108656.35</v>
      </c>
      <c r="J218" s="17"/>
    </row>
    <row r="219" spans="1:10">
      <c r="A219" s="18" t="s">
        <v>970</v>
      </c>
      <c r="B219" s="20">
        <v>6</v>
      </c>
      <c r="C219" s="21" t="s">
        <v>204</v>
      </c>
      <c r="D219" s="21" t="s">
        <v>513</v>
      </c>
      <c r="E219" s="21" t="s">
        <v>1295</v>
      </c>
      <c r="F219" s="22">
        <v>36338.42</v>
      </c>
      <c r="G219" s="22">
        <v>36338.42</v>
      </c>
      <c r="H219" s="23">
        <v>58372.37000000001</v>
      </c>
      <c r="I219" s="23">
        <v>58372.369999999995</v>
      </c>
      <c r="J219" s="17"/>
    </row>
    <row r="220" spans="1:10">
      <c r="A220" s="18" t="s">
        <v>972</v>
      </c>
      <c r="B220" s="20">
        <v>6</v>
      </c>
      <c r="C220" s="21" t="s">
        <v>196</v>
      </c>
      <c r="D220" s="21" t="s">
        <v>496</v>
      </c>
      <c r="E220" s="21" t="s">
        <v>1295</v>
      </c>
      <c r="F220" s="22">
        <v>36338.42</v>
      </c>
      <c r="G220" s="22">
        <v>36338.42</v>
      </c>
      <c r="H220" s="23">
        <v>37077.370000000003</v>
      </c>
      <c r="I220" s="23">
        <v>37077.370000000003</v>
      </c>
      <c r="J220" s="17"/>
    </row>
    <row r="221" spans="1:10">
      <c r="A221" s="18" t="s">
        <v>973</v>
      </c>
      <c r="B221" s="20">
        <v>6</v>
      </c>
      <c r="C221" s="21" t="s">
        <v>474</v>
      </c>
      <c r="D221" s="21" t="s">
        <v>473</v>
      </c>
      <c r="E221" s="21" t="s">
        <v>1295</v>
      </c>
      <c r="F221" s="22">
        <v>142175.42000000004</v>
      </c>
      <c r="G221" s="22">
        <v>137615.42000000001</v>
      </c>
      <c r="H221" s="23">
        <v>140267.37000000005</v>
      </c>
      <c r="I221" s="23">
        <v>140267.37</v>
      </c>
      <c r="J221" s="17"/>
    </row>
    <row r="222" spans="1:10">
      <c r="A222" s="18" t="s">
        <v>974</v>
      </c>
      <c r="B222" s="20">
        <v>6</v>
      </c>
      <c r="C222" s="21" t="s">
        <v>202</v>
      </c>
      <c r="D222" s="21" t="s">
        <v>507</v>
      </c>
      <c r="E222" s="21" t="s">
        <v>1295</v>
      </c>
      <c r="F222" s="22">
        <v>36338.42</v>
      </c>
      <c r="G222" s="22">
        <v>36338.42</v>
      </c>
      <c r="H222" s="23">
        <v>686760.3899999999</v>
      </c>
      <c r="I222" s="23">
        <v>686760.3899999999</v>
      </c>
      <c r="J222" s="17"/>
    </row>
    <row r="223" spans="1:10">
      <c r="A223" s="18" t="s">
        <v>975</v>
      </c>
      <c r="B223" s="20">
        <v>6</v>
      </c>
      <c r="C223" s="21" t="s">
        <v>210</v>
      </c>
      <c r="D223" s="21" t="s">
        <v>632</v>
      </c>
      <c r="E223" s="21" t="s">
        <v>1295</v>
      </c>
      <c r="F223" s="22">
        <v>14587.4</v>
      </c>
      <c r="G223" s="22">
        <v>14587.4</v>
      </c>
      <c r="H223" s="23">
        <v>9435</v>
      </c>
      <c r="I223" s="23">
        <v>9435</v>
      </c>
      <c r="J223" s="17"/>
    </row>
    <row r="224" spans="1:10">
      <c r="A224" s="18" t="s">
        <v>976</v>
      </c>
      <c r="B224" s="20">
        <v>6</v>
      </c>
      <c r="C224" s="21" t="s">
        <v>386</v>
      </c>
      <c r="D224" s="21" t="s">
        <v>506</v>
      </c>
      <c r="E224" s="21" t="s">
        <v>1295</v>
      </c>
      <c r="F224" s="22">
        <v>36338.42</v>
      </c>
      <c r="G224" s="22">
        <v>36338.42</v>
      </c>
      <c r="H224" s="23">
        <v>268791.1700000001</v>
      </c>
      <c r="I224" s="23">
        <v>268791.17000000004</v>
      </c>
      <c r="J224" s="17"/>
    </row>
    <row r="225" spans="1:10">
      <c r="A225" s="18" t="s">
        <v>977</v>
      </c>
      <c r="B225" s="20">
        <v>6</v>
      </c>
      <c r="C225" s="21" t="s">
        <v>366</v>
      </c>
      <c r="D225" s="21" t="s">
        <v>387</v>
      </c>
      <c r="E225" s="21" t="s">
        <v>1295</v>
      </c>
      <c r="F225" s="22">
        <v>62892.419999999984</v>
      </c>
      <c r="G225" s="22">
        <v>58332.42</v>
      </c>
      <c r="H225" s="23">
        <v>132120.1</v>
      </c>
      <c r="I225" s="23">
        <v>132120.1</v>
      </c>
      <c r="J225" s="17"/>
    </row>
    <row r="226" spans="1:10">
      <c r="A226" s="18" t="s">
        <v>980</v>
      </c>
      <c r="B226" s="20">
        <v>6</v>
      </c>
      <c r="C226" s="21" t="s">
        <v>241</v>
      </c>
      <c r="D226" s="21" t="s">
        <v>240</v>
      </c>
      <c r="E226" s="21" t="s">
        <v>1307</v>
      </c>
      <c r="F226" s="22">
        <v>1850260.53</v>
      </c>
      <c r="G226" s="22">
        <v>1850260.53</v>
      </c>
      <c r="H226" s="23">
        <v>104529.86</v>
      </c>
      <c r="I226" s="23">
        <v>104529.86</v>
      </c>
      <c r="J226" s="17"/>
    </row>
    <row r="227" spans="1:10">
      <c r="A227" s="18" t="s">
        <v>981</v>
      </c>
      <c r="B227" s="20">
        <v>6</v>
      </c>
      <c r="C227" s="21" t="s">
        <v>241</v>
      </c>
      <c r="D227" s="21" t="s">
        <v>528</v>
      </c>
      <c r="E227" s="21" t="s">
        <v>1307</v>
      </c>
      <c r="F227" s="22">
        <v>53273.01</v>
      </c>
      <c r="G227" s="22">
        <v>49395.94999999999</v>
      </c>
      <c r="H227" s="23">
        <v>12970</v>
      </c>
      <c r="I227" s="23">
        <v>12970</v>
      </c>
      <c r="J227" s="17"/>
    </row>
    <row r="228" spans="1:10">
      <c r="A228" s="18" t="s">
        <v>982</v>
      </c>
      <c r="B228" s="20">
        <v>6</v>
      </c>
      <c r="C228" s="21" t="s">
        <v>241</v>
      </c>
      <c r="D228" s="21" t="s">
        <v>500</v>
      </c>
      <c r="E228" s="21" t="s">
        <v>1307</v>
      </c>
      <c r="F228" s="22">
        <v>67593.7</v>
      </c>
      <c r="G228" s="22">
        <v>67593.7</v>
      </c>
      <c r="H228" s="23">
        <v>94000</v>
      </c>
      <c r="I228" s="23">
        <v>94000</v>
      </c>
      <c r="J228" s="17"/>
    </row>
    <row r="229" spans="1:10">
      <c r="A229" s="18" t="s">
        <v>983</v>
      </c>
      <c r="B229" s="20">
        <v>7</v>
      </c>
      <c r="C229" s="21" t="s">
        <v>518</v>
      </c>
      <c r="D229" s="21" t="s">
        <v>519</v>
      </c>
      <c r="E229" s="21" t="s">
        <v>1440</v>
      </c>
      <c r="F229" s="22">
        <v>124280.86</v>
      </c>
      <c r="G229" s="22">
        <v>124280.85999999997</v>
      </c>
      <c r="H229" s="23">
        <v>186240</v>
      </c>
      <c r="I229" s="23">
        <v>116240</v>
      </c>
      <c r="J229" s="17"/>
    </row>
    <row r="230" spans="1:10">
      <c r="A230" s="18" t="s">
        <v>984</v>
      </c>
      <c r="B230" s="20">
        <v>7</v>
      </c>
      <c r="C230" s="21" t="s">
        <v>518</v>
      </c>
      <c r="D230" s="21" t="s">
        <v>517</v>
      </c>
      <c r="E230" s="21" t="s">
        <v>1440</v>
      </c>
      <c r="F230" s="22">
        <v>268512.08000000013</v>
      </c>
      <c r="G230" s="22">
        <v>268512.08</v>
      </c>
      <c r="H230" s="23">
        <v>404692</v>
      </c>
      <c r="I230" s="23">
        <v>0</v>
      </c>
      <c r="J230" s="17"/>
    </row>
    <row r="231" spans="1:10">
      <c r="A231" s="18" t="s">
        <v>985</v>
      </c>
      <c r="B231" s="20">
        <v>7</v>
      </c>
      <c r="C231" s="21" t="s">
        <v>251</v>
      </c>
      <c r="D231" s="21" t="s">
        <v>250</v>
      </c>
      <c r="E231" s="21" t="s">
        <v>1150</v>
      </c>
      <c r="F231" s="22">
        <v>1045346.15</v>
      </c>
      <c r="G231" s="22">
        <v>1045346.15</v>
      </c>
      <c r="H231" s="23">
        <v>26554</v>
      </c>
      <c r="I231" s="23">
        <v>0</v>
      </c>
      <c r="J231" s="17"/>
    </row>
    <row r="232" spans="1:10">
      <c r="A232" s="18" t="s">
        <v>987</v>
      </c>
      <c r="B232" s="20">
        <v>7</v>
      </c>
      <c r="C232" s="21" t="s">
        <v>56</v>
      </c>
      <c r="D232" s="21" t="s">
        <v>55</v>
      </c>
      <c r="E232" s="21" t="s">
        <v>1153</v>
      </c>
      <c r="F232" s="22">
        <v>634978</v>
      </c>
      <c r="G232" s="22">
        <v>634977.99999999988</v>
      </c>
      <c r="H232" s="23">
        <v>1478757.6399999997</v>
      </c>
      <c r="I232" s="23">
        <v>1107608.1600000001</v>
      </c>
      <c r="J232" s="17"/>
    </row>
    <row r="233" spans="1:10" ht="25.5">
      <c r="A233" s="18" t="s">
        <v>988</v>
      </c>
      <c r="B233" s="20">
        <v>7</v>
      </c>
      <c r="C233" s="21" t="s">
        <v>47</v>
      </c>
      <c r="D233" s="21" t="s">
        <v>46</v>
      </c>
      <c r="E233" s="21" t="s">
        <v>1152</v>
      </c>
      <c r="F233" s="22">
        <v>1213342.5</v>
      </c>
      <c r="G233" s="22">
        <v>1213342.5</v>
      </c>
      <c r="H233" s="23">
        <v>72836.150000000009</v>
      </c>
      <c r="I233" s="23">
        <v>63985.15</v>
      </c>
      <c r="J233" s="17"/>
    </row>
    <row r="234" spans="1:10">
      <c r="A234" s="18" t="s">
        <v>989</v>
      </c>
      <c r="B234" s="20">
        <v>7</v>
      </c>
      <c r="C234" s="21" t="s">
        <v>35</v>
      </c>
      <c r="D234" s="21" t="s">
        <v>34</v>
      </c>
      <c r="E234" s="21" t="s">
        <v>1154</v>
      </c>
      <c r="F234" s="22">
        <v>1624485</v>
      </c>
      <c r="G234" s="22">
        <v>1624485</v>
      </c>
      <c r="H234" s="23">
        <v>110739.69</v>
      </c>
      <c r="I234" s="23">
        <v>99394.69</v>
      </c>
      <c r="J234" s="17"/>
    </row>
    <row r="235" spans="1:10">
      <c r="A235" s="18" t="s">
        <v>990</v>
      </c>
      <c r="B235" s="20">
        <v>7</v>
      </c>
      <c r="C235" s="21" t="s">
        <v>5</v>
      </c>
      <c r="D235" s="21" t="s">
        <v>4</v>
      </c>
      <c r="E235" s="21" t="s">
        <v>1151</v>
      </c>
      <c r="F235" s="22">
        <v>573931.84999999986</v>
      </c>
      <c r="G235" s="22">
        <v>573931.85</v>
      </c>
      <c r="H235" s="23">
        <v>129750.08000000002</v>
      </c>
      <c r="I235" s="23">
        <v>119035.08</v>
      </c>
      <c r="J235" s="17"/>
    </row>
    <row r="236" spans="1:10">
      <c r="A236" s="18" t="s">
        <v>991</v>
      </c>
      <c r="B236" s="20">
        <v>7</v>
      </c>
      <c r="C236" s="21" t="s">
        <v>11</v>
      </c>
      <c r="D236" s="21" t="s">
        <v>10</v>
      </c>
      <c r="E236" s="21" t="s">
        <v>1263</v>
      </c>
      <c r="F236" s="22">
        <v>1503357.39</v>
      </c>
      <c r="G236" s="22">
        <v>1503357.3900000001</v>
      </c>
      <c r="H236" s="23">
        <v>21074</v>
      </c>
      <c r="I236" s="23">
        <v>21074</v>
      </c>
      <c r="J236" s="17"/>
    </row>
    <row r="237" spans="1:10">
      <c r="A237" s="18" t="s">
        <v>993</v>
      </c>
      <c r="B237" s="20">
        <v>7</v>
      </c>
      <c r="C237" s="21" t="s">
        <v>1</v>
      </c>
      <c r="D237" s="21" t="s">
        <v>0</v>
      </c>
      <c r="E237" s="21" t="s">
        <v>1315</v>
      </c>
      <c r="F237" s="22">
        <v>15.379999997330742</v>
      </c>
      <c r="G237" s="22">
        <v>15.380000000295695</v>
      </c>
      <c r="H237" s="23">
        <v>9243</v>
      </c>
      <c r="I237" s="23">
        <v>9243</v>
      </c>
      <c r="J237" s="17"/>
    </row>
    <row r="238" spans="1:10">
      <c r="A238" s="18" t="s">
        <v>994</v>
      </c>
      <c r="B238" s="20">
        <v>7</v>
      </c>
      <c r="C238" s="21" t="s">
        <v>1483</v>
      </c>
      <c r="D238" s="21" t="s">
        <v>0</v>
      </c>
      <c r="E238" s="21" t="s">
        <v>1315</v>
      </c>
      <c r="F238" s="22">
        <v>2729449.7100000004</v>
      </c>
      <c r="G238" s="22">
        <v>2729449.7100000004</v>
      </c>
      <c r="H238" s="23">
        <v>3650</v>
      </c>
      <c r="I238" s="23">
        <v>3650</v>
      </c>
      <c r="J238" s="17"/>
    </row>
    <row r="239" spans="1:10">
      <c r="A239" s="18" t="s">
        <v>996</v>
      </c>
      <c r="B239" s="20">
        <v>7</v>
      </c>
      <c r="C239" s="21" t="s">
        <v>233</v>
      </c>
      <c r="D239" s="21" t="s">
        <v>232</v>
      </c>
      <c r="E239" s="21" t="s">
        <v>1339</v>
      </c>
      <c r="F239" s="22">
        <v>21074</v>
      </c>
      <c r="G239" s="22">
        <v>16840.669999999998</v>
      </c>
      <c r="H239" s="23">
        <v>37436.120000000003</v>
      </c>
      <c r="I239" s="23">
        <v>37436.120000000003</v>
      </c>
      <c r="J239" s="17"/>
    </row>
    <row r="240" spans="1:10">
      <c r="A240" s="18" t="s">
        <v>997</v>
      </c>
      <c r="B240" s="20">
        <v>7</v>
      </c>
      <c r="C240" s="21" t="s">
        <v>233</v>
      </c>
      <c r="D240" s="21" t="s">
        <v>236</v>
      </c>
      <c r="E240" s="21" t="s">
        <v>1339</v>
      </c>
      <c r="F240" s="22">
        <v>58551.999999999985</v>
      </c>
      <c r="G240" s="22">
        <v>58552</v>
      </c>
      <c r="H240" s="23">
        <v>2506581.58</v>
      </c>
      <c r="I240" s="23">
        <v>2418574.3200000003</v>
      </c>
      <c r="J240" s="17"/>
    </row>
    <row r="241" spans="1:10">
      <c r="A241" s="18" t="s">
        <v>998</v>
      </c>
      <c r="B241" s="20">
        <v>7</v>
      </c>
      <c r="C241" s="21" t="s">
        <v>233</v>
      </c>
      <c r="D241" s="21" t="s">
        <v>696</v>
      </c>
      <c r="E241" s="21" t="s">
        <v>1339</v>
      </c>
      <c r="F241" s="22">
        <v>9243</v>
      </c>
      <c r="G241" s="22">
        <v>9243</v>
      </c>
      <c r="H241" s="23">
        <v>44837.38</v>
      </c>
      <c r="I241" s="23">
        <v>44837.38</v>
      </c>
      <c r="J241" s="17"/>
    </row>
    <row r="242" spans="1:10">
      <c r="A242" s="18" t="s">
        <v>999</v>
      </c>
      <c r="B242" s="20">
        <v>7</v>
      </c>
      <c r="C242" s="21" t="s">
        <v>233</v>
      </c>
      <c r="D242" s="21" t="s">
        <v>235</v>
      </c>
      <c r="E242" s="21" t="s">
        <v>1339</v>
      </c>
      <c r="F242" s="22">
        <v>3650</v>
      </c>
      <c r="G242" s="22">
        <v>3650</v>
      </c>
      <c r="H242" s="23">
        <v>102080.88</v>
      </c>
      <c r="I242" s="23">
        <v>0</v>
      </c>
      <c r="J242" s="17"/>
    </row>
    <row r="243" spans="1:10">
      <c r="A243" s="18" t="s">
        <v>1002</v>
      </c>
      <c r="B243" s="20">
        <v>7</v>
      </c>
      <c r="C243" s="21" t="s">
        <v>665</v>
      </c>
      <c r="D243" s="21" t="s">
        <v>664</v>
      </c>
      <c r="E243" s="21" t="s">
        <v>1441</v>
      </c>
      <c r="F243" s="22">
        <v>43930.329999999994</v>
      </c>
      <c r="G243" s="22">
        <v>43930.33</v>
      </c>
      <c r="H243" s="23">
        <v>3742800.2800000017</v>
      </c>
      <c r="I243" s="23">
        <v>3728029.2800000007</v>
      </c>
      <c r="J243" s="17"/>
    </row>
    <row r="244" spans="1:10">
      <c r="A244" s="18" t="s">
        <v>1003</v>
      </c>
      <c r="B244" s="20">
        <v>7</v>
      </c>
      <c r="C244" s="21" t="s">
        <v>665</v>
      </c>
      <c r="D244" s="21" t="s">
        <v>680</v>
      </c>
      <c r="E244" s="21" t="s">
        <v>1441</v>
      </c>
      <c r="F244" s="22">
        <v>383917</v>
      </c>
      <c r="G244" s="22">
        <v>383917</v>
      </c>
      <c r="H244" s="23">
        <v>2110154.5799999996</v>
      </c>
      <c r="I244" s="23">
        <v>2110154.58</v>
      </c>
      <c r="J244" s="17"/>
    </row>
    <row r="245" spans="1:10">
      <c r="A245" s="18" t="s">
        <v>1004</v>
      </c>
      <c r="B245" s="20">
        <v>7</v>
      </c>
      <c r="C245" s="21" t="s">
        <v>231</v>
      </c>
      <c r="D245" s="21" t="s">
        <v>239</v>
      </c>
      <c r="E245" s="21" t="s">
        <v>1380</v>
      </c>
      <c r="F245" s="22">
        <v>71768</v>
      </c>
      <c r="G245" s="22">
        <v>71768</v>
      </c>
      <c r="H245" s="23">
        <v>651096.68999999971</v>
      </c>
      <c r="I245" s="23">
        <v>650718.76</v>
      </c>
      <c r="J245" s="17"/>
    </row>
    <row r="246" spans="1:10">
      <c r="A246" s="18" t="s">
        <v>1005</v>
      </c>
      <c r="B246" s="20">
        <v>7</v>
      </c>
      <c r="C246" s="21" t="s">
        <v>231</v>
      </c>
      <c r="D246" s="21" t="s">
        <v>230</v>
      </c>
      <c r="E246" s="21" t="s">
        <v>1380</v>
      </c>
      <c r="F246" s="22">
        <v>191496.00000000006</v>
      </c>
      <c r="G246" s="22">
        <v>187262.67</v>
      </c>
      <c r="H246" s="23">
        <v>27751.869999999995</v>
      </c>
      <c r="I246" s="23">
        <v>27751.870000000003</v>
      </c>
      <c r="J246" s="17"/>
    </row>
    <row r="247" spans="1:10">
      <c r="A247" s="18" t="s">
        <v>1006</v>
      </c>
      <c r="B247" s="20">
        <v>7</v>
      </c>
      <c r="C247" s="21" t="s">
        <v>231</v>
      </c>
      <c r="D247" s="21" t="s">
        <v>234</v>
      </c>
      <c r="E247" s="21" t="s">
        <v>1380</v>
      </c>
      <c r="F247" s="22">
        <v>134886</v>
      </c>
      <c r="G247" s="22">
        <v>134886</v>
      </c>
      <c r="H247" s="23">
        <v>349294</v>
      </c>
      <c r="I247" s="23">
        <v>118785.90000000001</v>
      </c>
      <c r="J247" s="17"/>
    </row>
    <row r="248" spans="1:10">
      <c r="A248" s="18" t="s">
        <v>1008</v>
      </c>
      <c r="B248" s="20">
        <v>7</v>
      </c>
      <c r="C248" s="21" t="s">
        <v>231</v>
      </c>
      <c r="D248" s="21" t="s">
        <v>238</v>
      </c>
      <c r="E248" s="21" t="s">
        <v>1380</v>
      </c>
      <c r="F248" s="22">
        <v>282776</v>
      </c>
      <c r="G248" s="22">
        <v>282776</v>
      </c>
      <c r="H248" s="23">
        <v>37763.199999999997</v>
      </c>
      <c r="I248" s="23">
        <v>37763.199999999997</v>
      </c>
      <c r="J248" s="17"/>
    </row>
    <row r="249" spans="1:10">
      <c r="A249" s="18" t="s">
        <v>1009</v>
      </c>
      <c r="B249" s="20">
        <v>7</v>
      </c>
      <c r="C249" s="21" t="s">
        <v>231</v>
      </c>
      <c r="D249" s="21" t="s">
        <v>237</v>
      </c>
      <c r="E249" s="21" t="s">
        <v>1380</v>
      </c>
      <c r="F249" s="22">
        <v>22950</v>
      </c>
      <c r="G249" s="22">
        <v>22950</v>
      </c>
      <c r="H249" s="23">
        <v>50217.590000000004</v>
      </c>
      <c r="I249" s="23">
        <v>45749.08</v>
      </c>
      <c r="J249" s="17"/>
    </row>
    <row r="250" spans="1:10">
      <c r="A250" s="18" t="s">
        <v>1010</v>
      </c>
      <c r="B250" s="20">
        <v>7</v>
      </c>
      <c r="C250" s="21" t="s">
        <v>119</v>
      </c>
      <c r="D250" s="21" t="s">
        <v>246</v>
      </c>
      <c r="E250" s="21" t="s">
        <v>1386</v>
      </c>
      <c r="F250" s="22">
        <v>152855</v>
      </c>
      <c r="G250" s="22">
        <v>148621.67000000001</v>
      </c>
      <c r="H250" s="23">
        <v>35597</v>
      </c>
      <c r="I250" s="23">
        <v>35597</v>
      </c>
      <c r="J250" s="17"/>
    </row>
    <row r="251" spans="1:10">
      <c r="A251" s="18" t="s">
        <v>1011</v>
      </c>
      <c r="B251" s="20">
        <v>7</v>
      </c>
      <c r="C251" s="21" t="s">
        <v>119</v>
      </c>
      <c r="D251" s="21" t="s">
        <v>333</v>
      </c>
      <c r="E251" s="21" t="s">
        <v>1386</v>
      </c>
      <c r="F251" s="22">
        <v>186702.99999999997</v>
      </c>
      <c r="G251" s="22">
        <v>186703.00000000003</v>
      </c>
      <c r="H251" s="23">
        <v>28549</v>
      </c>
      <c r="I251" s="23">
        <v>28549</v>
      </c>
      <c r="J251" s="17"/>
    </row>
    <row r="252" spans="1:10">
      <c r="A252" s="18" t="s">
        <v>1012</v>
      </c>
      <c r="B252" s="20">
        <v>7</v>
      </c>
      <c r="C252" s="21" t="s">
        <v>119</v>
      </c>
      <c r="D252" s="21" t="s">
        <v>118</v>
      </c>
      <c r="E252" s="21" t="s">
        <v>1386</v>
      </c>
      <c r="F252" s="22">
        <v>311428</v>
      </c>
      <c r="G252" s="22">
        <v>311428</v>
      </c>
      <c r="H252" s="23">
        <v>1139993.3900000001</v>
      </c>
      <c r="I252" s="23">
        <v>1032919.2899999999</v>
      </c>
      <c r="J252" s="17"/>
    </row>
    <row r="253" spans="1:10">
      <c r="A253" s="18" t="s">
        <v>1013</v>
      </c>
      <c r="B253" s="20">
        <v>7</v>
      </c>
      <c r="C253" s="21" t="s">
        <v>119</v>
      </c>
      <c r="D253" s="21" t="s">
        <v>640</v>
      </c>
      <c r="E253" s="21" t="s">
        <v>1386</v>
      </c>
      <c r="F253" s="22">
        <v>22149.999999999996</v>
      </c>
      <c r="G253" s="22">
        <v>22150</v>
      </c>
      <c r="H253" s="23">
        <v>979859.4</v>
      </c>
      <c r="I253" s="23">
        <v>979842.28000000014</v>
      </c>
      <c r="J253" s="17"/>
    </row>
    <row r="254" spans="1:10" ht="25.5">
      <c r="A254" s="18" t="s">
        <v>1014</v>
      </c>
      <c r="B254" s="20">
        <v>7</v>
      </c>
      <c r="C254" s="21" t="s">
        <v>660</v>
      </c>
      <c r="D254" s="21" t="s">
        <v>661</v>
      </c>
      <c r="E254" s="21" t="s">
        <v>1443</v>
      </c>
      <c r="F254" s="22">
        <v>67243.140000000029</v>
      </c>
      <c r="G254" s="22">
        <v>67243.14</v>
      </c>
      <c r="H254" s="23">
        <v>155111.31</v>
      </c>
      <c r="I254" s="23">
        <v>140538.17000000001</v>
      </c>
      <c r="J254" s="17"/>
    </row>
    <row r="255" spans="1:10" ht="25.5">
      <c r="A255" s="18" t="s">
        <v>1015</v>
      </c>
      <c r="B255" s="20">
        <v>7</v>
      </c>
      <c r="C255" s="21" t="s">
        <v>660</v>
      </c>
      <c r="D255" s="21" t="s">
        <v>662</v>
      </c>
      <c r="E255" s="21" t="s">
        <v>1443</v>
      </c>
      <c r="F255" s="22">
        <v>217046.72</v>
      </c>
      <c r="G255" s="22">
        <v>217046.72000000003</v>
      </c>
      <c r="H255" s="23">
        <v>789472.88000000012</v>
      </c>
      <c r="I255" s="23">
        <v>501548.35000000009</v>
      </c>
      <c r="J255" s="17"/>
    </row>
    <row r="256" spans="1:10" ht="25.5">
      <c r="A256" s="18" t="s">
        <v>1016</v>
      </c>
      <c r="B256" s="20">
        <v>7</v>
      </c>
      <c r="C256" s="21" t="s">
        <v>660</v>
      </c>
      <c r="D256" s="21" t="s">
        <v>659</v>
      </c>
      <c r="E256" s="21" t="s">
        <v>1443</v>
      </c>
      <c r="F256" s="22">
        <v>428074.20999999996</v>
      </c>
      <c r="G256" s="22">
        <v>428074.21</v>
      </c>
      <c r="H256" s="23">
        <v>312487.19999999995</v>
      </c>
      <c r="I256" s="23">
        <v>312487.2</v>
      </c>
      <c r="J256" s="17"/>
    </row>
    <row r="257" spans="1:10">
      <c r="A257" s="18" t="s">
        <v>1017</v>
      </c>
      <c r="B257" s="20">
        <v>7</v>
      </c>
      <c r="C257" s="21" t="s">
        <v>105</v>
      </c>
      <c r="D257" s="21" t="s">
        <v>332</v>
      </c>
      <c r="E257" s="21" t="s">
        <v>1375</v>
      </c>
      <c r="F257" s="22">
        <v>25800.000000000004</v>
      </c>
      <c r="G257" s="22">
        <v>25800</v>
      </c>
      <c r="H257" s="23">
        <v>2634489.62</v>
      </c>
      <c r="I257" s="23">
        <v>1678865.91</v>
      </c>
      <c r="J257" s="17"/>
    </row>
    <row r="258" spans="1:10">
      <c r="A258" s="18" t="s">
        <v>1018</v>
      </c>
      <c r="B258" s="20">
        <v>7</v>
      </c>
      <c r="C258" s="21" t="s">
        <v>105</v>
      </c>
      <c r="D258" s="21" t="s">
        <v>104</v>
      </c>
      <c r="E258" s="21" t="s">
        <v>1375</v>
      </c>
      <c r="F258" s="22">
        <v>376551</v>
      </c>
      <c r="G258" s="22">
        <v>372317.67</v>
      </c>
      <c r="H258" s="23">
        <v>36993.15</v>
      </c>
      <c r="I258" s="23">
        <v>36993.15</v>
      </c>
      <c r="J258" s="17"/>
    </row>
    <row r="259" spans="1:10">
      <c r="A259" s="18" t="s">
        <v>1019</v>
      </c>
      <c r="B259" s="20">
        <v>7</v>
      </c>
      <c r="C259" s="21" t="s">
        <v>105</v>
      </c>
      <c r="D259" s="21" t="s">
        <v>642</v>
      </c>
      <c r="E259" s="21" t="s">
        <v>1375</v>
      </c>
      <c r="F259" s="22">
        <v>12150</v>
      </c>
      <c r="G259" s="22">
        <v>12150</v>
      </c>
      <c r="H259" s="23">
        <v>155949.57</v>
      </c>
      <c r="I259" s="23">
        <v>155949.57</v>
      </c>
      <c r="J259" s="17"/>
    </row>
    <row r="260" spans="1:10">
      <c r="A260" s="18" t="s">
        <v>1020</v>
      </c>
      <c r="B260" s="20">
        <v>7</v>
      </c>
      <c r="C260" s="21" t="s">
        <v>161</v>
      </c>
      <c r="D260" s="21" t="s">
        <v>168</v>
      </c>
      <c r="E260" s="21" t="s">
        <v>1387</v>
      </c>
      <c r="F260" s="22">
        <v>121488.15</v>
      </c>
      <c r="G260" s="22">
        <v>121488.15</v>
      </c>
      <c r="H260" s="23">
        <v>51981</v>
      </c>
      <c r="I260" s="23">
        <v>51981</v>
      </c>
      <c r="J260" s="17"/>
    </row>
    <row r="261" spans="1:10">
      <c r="A261" s="18" t="s">
        <v>1021</v>
      </c>
      <c r="B261" s="20">
        <v>7</v>
      </c>
      <c r="C261" s="21" t="s">
        <v>161</v>
      </c>
      <c r="D261" s="21" t="s">
        <v>160</v>
      </c>
      <c r="E261" s="21" t="s">
        <v>1387</v>
      </c>
      <c r="F261" s="22">
        <v>17669.190000000002</v>
      </c>
      <c r="G261" s="22">
        <v>17669.189999999999</v>
      </c>
      <c r="H261" s="23">
        <v>1483092.13</v>
      </c>
      <c r="I261" s="23">
        <v>1407104.5600000003</v>
      </c>
      <c r="J261" s="17"/>
    </row>
    <row r="262" spans="1:10">
      <c r="A262" s="18" t="s">
        <v>1022</v>
      </c>
      <c r="B262" s="20">
        <v>7</v>
      </c>
      <c r="C262" s="21" t="s">
        <v>148</v>
      </c>
      <c r="D262" s="21" t="s">
        <v>147</v>
      </c>
      <c r="E262" s="21" t="s">
        <v>1387</v>
      </c>
      <c r="F262" s="22">
        <v>115778.33</v>
      </c>
      <c r="G262" s="22">
        <v>115778.33</v>
      </c>
      <c r="H262" s="23">
        <v>378209</v>
      </c>
      <c r="I262" s="23">
        <v>341814.11</v>
      </c>
      <c r="J262" s="17"/>
    </row>
    <row r="263" spans="1:10">
      <c r="A263" s="18" t="s">
        <v>1023</v>
      </c>
      <c r="B263" s="20">
        <v>7</v>
      </c>
      <c r="C263" s="21" t="s">
        <v>148</v>
      </c>
      <c r="D263" s="21" t="s">
        <v>166</v>
      </c>
      <c r="E263" s="21" t="s">
        <v>1387</v>
      </c>
      <c r="F263" s="22">
        <v>22751.119999999995</v>
      </c>
      <c r="G263" s="22">
        <v>22751.119999999999</v>
      </c>
      <c r="H263" s="23">
        <v>11004.1</v>
      </c>
      <c r="I263" s="23">
        <v>11004.1</v>
      </c>
      <c r="J263" s="17"/>
    </row>
    <row r="264" spans="1:10">
      <c r="A264" s="18" t="s">
        <v>1024</v>
      </c>
      <c r="B264" s="20">
        <v>7</v>
      </c>
      <c r="C264" s="21" t="s">
        <v>157</v>
      </c>
      <c r="D264" s="21" t="s">
        <v>173</v>
      </c>
      <c r="E264" s="21" t="s">
        <v>1387</v>
      </c>
      <c r="F264" s="22">
        <v>45504.12999999999</v>
      </c>
      <c r="G264" s="22">
        <v>45504.130000000005</v>
      </c>
      <c r="H264" s="23">
        <v>276539.25</v>
      </c>
      <c r="I264" s="23">
        <v>276539.25</v>
      </c>
      <c r="J264" s="17"/>
    </row>
    <row r="265" spans="1:10">
      <c r="A265" s="18" t="s">
        <v>1025</v>
      </c>
      <c r="B265" s="20">
        <v>7</v>
      </c>
      <c r="C265" s="21" t="s">
        <v>157</v>
      </c>
      <c r="D265" s="21" t="s">
        <v>156</v>
      </c>
      <c r="E265" s="21" t="s">
        <v>1387</v>
      </c>
      <c r="F265" s="22">
        <v>228657.66</v>
      </c>
      <c r="G265" s="22">
        <v>228657.66</v>
      </c>
      <c r="H265" s="23">
        <v>67618</v>
      </c>
      <c r="I265" s="23">
        <v>38803.699999999997</v>
      </c>
      <c r="J265" s="17"/>
    </row>
    <row r="266" spans="1:10">
      <c r="A266" s="18" t="s">
        <v>1026</v>
      </c>
      <c r="B266" s="20">
        <v>7</v>
      </c>
      <c r="C266" s="21" t="s">
        <v>146</v>
      </c>
      <c r="D266" s="21" t="s">
        <v>167</v>
      </c>
      <c r="E266" s="21" t="s">
        <v>1387</v>
      </c>
      <c r="F266" s="22">
        <v>160486.03999999995</v>
      </c>
      <c r="G266" s="22">
        <v>160486.03999999998</v>
      </c>
      <c r="H266" s="23">
        <v>7744</v>
      </c>
      <c r="I266" s="23">
        <v>7744</v>
      </c>
      <c r="J266" s="17"/>
    </row>
    <row r="267" spans="1:10">
      <c r="A267" s="18" t="s">
        <v>1027</v>
      </c>
      <c r="B267" s="20">
        <v>7</v>
      </c>
      <c r="C267" s="21" t="s">
        <v>146</v>
      </c>
      <c r="D267" s="21" t="s">
        <v>145</v>
      </c>
      <c r="E267" s="21" t="s">
        <v>1387</v>
      </c>
      <c r="F267" s="22">
        <v>23083.809999999998</v>
      </c>
      <c r="G267" s="22">
        <v>23083.81</v>
      </c>
      <c r="H267" s="23">
        <v>212199.28000000003</v>
      </c>
      <c r="I267" s="23">
        <v>212199.27999999997</v>
      </c>
      <c r="J267" s="17"/>
    </row>
    <row r="268" spans="1:10">
      <c r="A268" s="18" t="s">
        <v>1030</v>
      </c>
      <c r="B268" s="20">
        <v>7</v>
      </c>
      <c r="C268" s="21" t="s">
        <v>152</v>
      </c>
      <c r="D268" s="21" t="s">
        <v>162</v>
      </c>
      <c r="E268" s="21" t="s">
        <v>1387</v>
      </c>
      <c r="F268" s="22">
        <v>119347.82999999999</v>
      </c>
      <c r="G268" s="22">
        <v>119347.83</v>
      </c>
      <c r="H268" s="23">
        <v>87130.240000000005</v>
      </c>
      <c r="I268" s="23">
        <v>70526.66</v>
      </c>
      <c r="J268" s="17"/>
    </row>
    <row r="269" spans="1:10">
      <c r="A269" s="18" t="s">
        <v>1031</v>
      </c>
      <c r="B269" s="20">
        <v>7</v>
      </c>
      <c r="C269" s="21" t="s">
        <v>152</v>
      </c>
      <c r="D269" s="21" t="s">
        <v>151</v>
      </c>
      <c r="E269" s="21" t="s">
        <v>1387</v>
      </c>
      <c r="F269" s="22">
        <v>8915.3500000000022</v>
      </c>
      <c r="G269" s="22">
        <v>8915.35</v>
      </c>
      <c r="H269" s="23">
        <v>47500</v>
      </c>
      <c r="I269" s="23">
        <v>47500</v>
      </c>
      <c r="J269" s="17"/>
    </row>
    <row r="270" spans="1:10">
      <c r="A270" s="18" t="s">
        <v>1032</v>
      </c>
      <c r="B270" s="20">
        <v>7</v>
      </c>
      <c r="C270" s="21" t="s">
        <v>159</v>
      </c>
      <c r="D270" s="21" t="s">
        <v>165</v>
      </c>
      <c r="E270" s="21" t="s">
        <v>1387</v>
      </c>
      <c r="F270" s="22">
        <v>53629.540000000008</v>
      </c>
      <c r="G270" s="22">
        <v>53629.539999999994</v>
      </c>
      <c r="H270" s="23">
        <v>2467500.0000000019</v>
      </c>
      <c r="I270" s="23">
        <v>2200979.5500000003</v>
      </c>
      <c r="J270" s="17"/>
    </row>
    <row r="271" spans="1:10">
      <c r="A271" s="18" t="s">
        <v>1033</v>
      </c>
      <c r="B271" s="20">
        <v>7</v>
      </c>
      <c r="C271" s="21" t="s">
        <v>159</v>
      </c>
      <c r="D271" s="21" t="s">
        <v>158</v>
      </c>
      <c r="E271" s="21" t="s">
        <v>1387</v>
      </c>
      <c r="F271" s="22">
        <v>327671.13</v>
      </c>
      <c r="G271" s="22">
        <v>327671.13</v>
      </c>
      <c r="H271" s="23">
        <v>179346.97999999998</v>
      </c>
      <c r="I271" s="23">
        <v>5247.54</v>
      </c>
      <c r="J271" s="17"/>
    </row>
    <row r="272" spans="1:10">
      <c r="A272" s="18" t="s">
        <v>1034</v>
      </c>
      <c r="B272" s="20">
        <v>7</v>
      </c>
      <c r="C272" s="21" t="s">
        <v>154</v>
      </c>
      <c r="D272" s="21" t="s">
        <v>153</v>
      </c>
      <c r="E272" s="21" t="s">
        <v>1387</v>
      </c>
      <c r="F272" s="22">
        <v>31261.180000000004</v>
      </c>
      <c r="G272" s="22">
        <v>31261.179999999997</v>
      </c>
      <c r="H272" s="23">
        <v>86908.35000000002</v>
      </c>
      <c r="I272" s="23">
        <v>76959</v>
      </c>
      <c r="J272" s="17"/>
    </row>
    <row r="273" spans="1:10">
      <c r="A273" s="18" t="s">
        <v>1035</v>
      </c>
      <c r="B273" s="20">
        <v>7</v>
      </c>
      <c r="C273" s="21" t="s">
        <v>154</v>
      </c>
      <c r="D273" s="21" t="s">
        <v>155</v>
      </c>
      <c r="E273" s="21" t="s">
        <v>1387</v>
      </c>
      <c r="F273" s="22">
        <v>172244.42999999996</v>
      </c>
      <c r="G273" s="22">
        <v>172244.43</v>
      </c>
      <c r="H273" s="23">
        <v>2036731.1600000001</v>
      </c>
      <c r="I273" s="23">
        <v>2006483.0799999998</v>
      </c>
      <c r="J273" s="17"/>
    </row>
    <row r="274" spans="1:10">
      <c r="A274" s="18" t="s">
        <v>1036</v>
      </c>
      <c r="B274" s="20">
        <v>7</v>
      </c>
      <c r="C274" s="21" t="s">
        <v>208</v>
      </c>
      <c r="D274" s="21" t="s">
        <v>207</v>
      </c>
      <c r="E274" s="21" t="s">
        <v>1442</v>
      </c>
      <c r="F274" s="22">
        <v>1479140.73</v>
      </c>
      <c r="G274" s="22">
        <v>1479140.73</v>
      </c>
      <c r="H274" s="23">
        <v>57086.61</v>
      </c>
      <c r="I274" s="23">
        <v>39028.61</v>
      </c>
      <c r="J274" s="17"/>
    </row>
    <row r="275" spans="1:10">
      <c r="A275" s="18" t="s">
        <v>1037</v>
      </c>
      <c r="B275" s="20">
        <v>7</v>
      </c>
      <c r="C275" s="21" t="s">
        <v>208</v>
      </c>
      <c r="D275" s="21" t="s">
        <v>487</v>
      </c>
      <c r="E275" s="21" t="s">
        <v>1442</v>
      </c>
      <c r="F275" s="22">
        <v>234441.00000000003</v>
      </c>
      <c r="G275" s="22">
        <v>234441</v>
      </c>
      <c r="H275" s="23">
        <v>69086.610000000015</v>
      </c>
      <c r="I275" s="23">
        <v>63469.66</v>
      </c>
      <c r="J275" s="17"/>
    </row>
    <row r="276" spans="1:10">
      <c r="A276" s="18" t="s">
        <v>1038</v>
      </c>
      <c r="B276" s="20">
        <v>7</v>
      </c>
      <c r="C276" s="21" t="s">
        <v>208</v>
      </c>
      <c r="D276" s="21" t="s">
        <v>512</v>
      </c>
      <c r="E276" s="21" t="s">
        <v>1442</v>
      </c>
      <c r="F276" s="22">
        <v>83458</v>
      </c>
      <c r="G276" s="22">
        <v>83458.000000000015</v>
      </c>
      <c r="H276" s="23">
        <v>691756.23999999976</v>
      </c>
      <c r="I276" s="23">
        <v>691756.24000000011</v>
      </c>
      <c r="J276" s="17"/>
    </row>
    <row r="277" spans="1:10">
      <c r="A277" s="18" t="s">
        <v>1039</v>
      </c>
      <c r="B277" s="20">
        <v>7</v>
      </c>
      <c r="C277" s="21" t="s">
        <v>208</v>
      </c>
      <c r="D277" s="21" t="s">
        <v>693</v>
      </c>
      <c r="E277" s="21" t="s">
        <v>1442</v>
      </c>
      <c r="F277" s="22">
        <v>8600</v>
      </c>
      <c r="G277" s="22">
        <v>8600</v>
      </c>
      <c r="H277" s="23">
        <v>155715.64000000001</v>
      </c>
      <c r="I277" s="23">
        <v>26921.88</v>
      </c>
      <c r="J277" s="17"/>
    </row>
    <row r="278" spans="1:10">
      <c r="A278" s="18" t="s">
        <v>1040</v>
      </c>
      <c r="B278" s="20">
        <v>7</v>
      </c>
      <c r="C278" s="21" t="s">
        <v>208</v>
      </c>
      <c r="D278" s="21" t="s">
        <v>616</v>
      </c>
      <c r="E278" s="21" t="s">
        <v>1442</v>
      </c>
      <c r="F278" s="22">
        <v>31343</v>
      </c>
      <c r="G278" s="22">
        <v>0</v>
      </c>
      <c r="H278" s="23">
        <v>57818.580000000009</v>
      </c>
      <c r="I278" s="23">
        <v>17655.75</v>
      </c>
      <c r="J278" s="17"/>
    </row>
    <row r="279" spans="1:10">
      <c r="A279" s="18" t="s">
        <v>1041</v>
      </c>
      <c r="B279" s="20">
        <v>7</v>
      </c>
      <c r="C279" s="21" t="s">
        <v>563</v>
      </c>
      <c r="D279" s="21" t="s">
        <v>697</v>
      </c>
      <c r="E279" s="21" t="s">
        <v>1374</v>
      </c>
      <c r="F279" s="22">
        <v>76035</v>
      </c>
      <c r="G279" s="22">
        <v>76035</v>
      </c>
      <c r="H279" s="23">
        <v>52577</v>
      </c>
      <c r="I279" s="23">
        <v>11626.67</v>
      </c>
      <c r="J279" s="17"/>
    </row>
    <row r="280" spans="1:10">
      <c r="A280" s="18" t="s">
        <v>1042</v>
      </c>
      <c r="B280" s="20">
        <v>7</v>
      </c>
      <c r="C280" s="21" t="s">
        <v>563</v>
      </c>
      <c r="D280" s="21" t="s">
        <v>690</v>
      </c>
      <c r="E280" s="21" t="s">
        <v>1374</v>
      </c>
      <c r="F280" s="22">
        <v>6700</v>
      </c>
      <c r="G280" s="22">
        <v>6700</v>
      </c>
      <c r="H280" s="23">
        <v>49471</v>
      </c>
      <c r="I280" s="23">
        <v>17825.150000000001</v>
      </c>
      <c r="J280" s="17"/>
    </row>
    <row r="281" spans="1:10">
      <c r="A281" s="18" t="s">
        <v>1043</v>
      </c>
      <c r="B281" s="20">
        <v>7</v>
      </c>
      <c r="C281" s="21" t="s">
        <v>563</v>
      </c>
      <c r="D281" s="21" t="s">
        <v>562</v>
      </c>
      <c r="E281" s="21" t="s">
        <v>1374</v>
      </c>
      <c r="F281" s="22">
        <v>31342</v>
      </c>
      <c r="G281" s="22">
        <v>734.99999999999818</v>
      </c>
      <c r="H281" s="23">
        <v>43930.329999999994</v>
      </c>
      <c r="I281" s="23">
        <v>43930.33</v>
      </c>
      <c r="J281" s="17"/>
    </row>
    <row r="282" spans="1:10">
      <c r="A282" s="18" t="s">
        <v>1046</v>
      </c>
      <c r="B282" s="20">
        <v>7</v>
      </c>
      <c r="C282" s="21" t="s">
        <v>637</v>
      </c>
      <c r="D282" s="21" t="s">
        <v>636</v>
      </c>
      <c r="E282" s="21" t="s">
        <v>1390</v>
      </c>
      <c r="F282" s="22">
        <v>165086.25999999995</v>
      </c>
      <c r="G282" s="22">
        <v>165086.25999999998</v>
      </c>
      <c r="H282" s="23">
        <v>234441</v>
      </c>
      <c r="I282" s="23">
        <v>223891</v>
      </c>
      <c r="J282" s="17"/>
    </row>
    <row r="283" spans="1:10">
      <c r="A283" s="18" t="s">
        <v>1047</v>
      </c>
      <c r="B283" s="20">
        <v>7</v>
      </c>
      <c r="C283" s="21" t="s">
        <v>314</v>
      </c>
      <c r="D283" s="21" t="s">
        <v>318</v>
      </c>
      <c r="E283" s="21" t="s">
        <v>1372</v>
      </c>
      <c r="F283" s="22">
        <v>248877.99999999988</v>
      </c>
      <c r="G283" s="22">
        <v>248878</v>
      </c>
      <c r="H283" s="23">
        <v>83458</v>
      </c>
      <c r="I283" s="23">
        <v>83458.000000000015</v>
      </c>
      <c r="J283" s="17"/>
    </row>
    <row r="284" spans="1:10">
      <c r="A284" s="18" t="s">
        <v>1048</v>
      </c>
      <c r="B284" s="20">
        <v>7</v>
      </c>
      <c r="C284" s="21" t="s">
        <v>314</v>
      </c>
      <c r="D284" s="21" t="s">
        <v>313</v>
      </c>
      <c r="E284" s="21" t="s">
        <v>1372</v>
      </c>
      <c r="F284" s="22">
        <v>1517911.0000000002</v>
      </c>
      <c r="G284" s="22">
        <v>1517911.0000000002</v>
      </c>
      <c r="H284" s="23">
        <v>8600</v>
      </c>
      <c r="I284" s="23">
        <v>8600</v>
      </c>
      <c r="J284" s="17"/>
    </row>
    <row r="285" spans="1:10">
      <c r="A285" s="18" t="s">
        <v>1049</v>
      </c>
      <c r="B285" s="20">
        <v>7</v>
      </c>
      <c r="C285" s="21" t="s">
        <v>244</v>
      </c>
      <c r="D285" s="21" t="s">
        <v>349</v>
      </c>
      <c r="E285" s="21" t="s">
        <v>1373</v>
      </c>
      <c r="F285" s="22">
        <v>23019.999999999996</v>
      </c>
      <c r="G285" s="22">
        <v>23020</v>
      </c>
      <c r="H285" s="23">
        <v>31343</v>
      </c>
      <c r="I285" s="23">
        <v>0</v>
      </c>
      <c r="J285" s="17"/>
    </row>
    <row r="286" spans="1:10">
      <c r="A286" s="18" t="s">
        <v>1050</v>
      </c>
      <c r="B286" s="20">
        <v>7</v>
      </c>
      <c r="C286" s="21" t="s">
        <v>244</v>
      </c>
      <c r="D286" s="21" t="s">
        <v>337</v>
      </c>
      <c r="E286" s="21" t="s">
        <v>1373</v>
      </c>
      <c r="F286" s="22">
        <v>222273.00000000003</v>
      </c>
      <c r="G286" s="22">
        <v>222273</v>
      </c>
      <c r="H286" s="23">
        <v>248877.99999999988</v>
      </c>
      <c r="I286" s="23">
        <v>248763.7</v>
      </c>
      <c r="J286" s="17"/>
    </row>
    <row r="287" spans="1:10">
      <c r="A287" s="18" t="s">
        <v>1051</v>
      </c>
      <c r="B287" s="20">
        <v>7</v>
      </c>
      <c r="C287" s="21" t="s">
        <v>244</v>
      </c>
      <c r="D287" s="21" t="s">
        <v>243</v>
      </c>
      <c r="E287" s="21" t="s">
        <v>1373</v>
      </c>
      <c r="F287" s="22">
        <v>269732</v>
      </c>
      <c r="G287" s="22">
        <v>265498.65999999997</v>
      </c>
      <c r="H287" s="23">
        <v>1517911</v>
      </c>
      <c r="I287" s="23">
        <v>1515463.6799999999</v>
      </c>
      <c r="J287" s="17"/>
    </row>
    <row r="288" spans="1:10">
      <c r="A288" s="18" t="s">
        <v>1052</v>
      </c>
      <c r="B288" s="20">
        <v>7</v>
      </c>
      <c r="C288" s="21" t="s">
        <v>244</v>
      </c>
      <c r="D288" s="21" t="s">
        <v>334</v>
      </c>
      <c r="E288" s="21" t="s">
        <v>1373</v>
      </c>
      <c r="F288" s="22">
        <v>96686</v>
      </c>
      <c r="G288" s="22">
        <v>96686</v>
      </c>
      <c r="H288" s="23">
        <v>23019.999999999996</v>
      </c>
      <c r="I288" s="23">
        <v>23020</v>
      </c>
      <c r="J288" s="17"/>
    </row>
    <row r="289" spans="1:10">
      <c r="A289" s="18" t="s">
        <v>1053</v>
      </c>
      <c r="B289" s="20">
        <v>7</v>
      </c>
      <c r="C289" s="21" t="s">
        <v>244</v>
      </c>
      <c r="D289" s="21" t="s">
        <v>643</v>
      </c>
      <c r="E289" s="21" t="s">
        <v>1373</v>
      </c>
      <c r="F289" s="22">
        <v>25100</v>
      </c>
      <c r="G289" s="22">
        <v>25100</v>
      </c>
      <c r="H289" s="23">
        <v>222273.00000000006</v>
      </c>
      <c r="I289" s="23">
        <v>222273</v>
      </c>
      <c r="J289" s="17"/>
    </row>
    <row r="290" spans="1:10">
      <c r="A290" s="18" t="s">
        <v>1054</v>
      </c>
      <c r="B290" s="20">
        <v>7</v>
      </c>
      <c r="C290" s="21" t="s">
        <v>135</v>
      </c>
      <c r="D290" s="21" t="s">
        <v>245</v>
      </c>
      <c r="E290" s="21" t="s">
        <v>1376</v>
      </c>
      <c r="F290" s="22">
        <v>257350.00000000006</v>
      </c>
      <c r="G290" s="22">
        <v>257350.00000000003</v>
      </c>
      <c r="H290" s="23">
        <v>269732</v>
      </c>
      <c r="I290" s="23">
        <v>255098</v>
      </c>
      <c r="J290" s="17"/>
    </row>
    <row r="291" spans="1:10">
      <c r="A291" s="18" t="s">
        <v>1055</v>
      </c>
      <c r="B291" s="20">
        <v>7</v>
      </c>
      <c r="C291" s="21" t="s">
        <v>135</v>
      </c>
      <c r="D291" s="21" t="s">
        <v>139</v>
      </c>
      <c r="E291" s="21" t="s">
        <v>1376</v>
      </c>
      <c r="F291" s="22">
        <v>587130</v>
      </c>
      <c r="G291" s="22">
        <v>582896.67000000004</v>
      </c>
      <c r="H291" s="23">
        <v>96686</v>
      </c>
      <c r="I291" s="23">
        <v>96685.999999999985</v>
      </c>
      <c r="J291" s="17"/>
    </row>
    <row r="292" spans="1:10">
      <c r="A292" s="18" t="s">
        <v>1056</v>
      </c>
      <c r="B292" s="20">
        <v>7</v>
      </c>
      <c r="C292" s="21" t="s">
        <v>135</v>
      </c>
      <c r="D292" s="21" t="s">
        <v>247</v>
      </c>
      <c r="E292" s="21" t="s">
        <v>1376</v>
      </c>
      <c r="F292" s="22">
        <v>331010</v>
      </c>
      <c r="G292" s="22">
        <v>331010</v>
      </c>
      <c r="H292" s="23">
        <v>25100</v>
      </c>
      <c r="I292" s="23">
        <v>25100</v>
      </c>
      <c r="J292" s="17"/>
    </row>
    <row r="293" spans="1:10">
      <c r="A293" s="18" t="s">
        <v>1057</v>
      </c>
      <c r="B293" s="20">
        <v>7</v>
      </c>
      <c r="C293" s="21" t="s">
        <v>135</v>
      </c>
      <c r="D293" s="21" t="s">
        <v>134</v>
      </c>
      <c r="E293" s="21" t="s">
        <v>1376</v>
      </c>
      <c r="F293" s="22">
        <v>327428</v>
      </c>
      <c r="G293" s="22">
        <v>327428</v>
      </c>
      <c r="H293" s="23">
        <v>76035</v>
      </c>
      <c r="I293" s="23">
        <v>76035</v>
      </c>
      <c r="J293" s="17"/>
    </row>
    <row r="294" spans="1:10">
      <c r="A294" s="18" t="s">
        <v>1058</v>
      </c>
      <c r="B294" s="20">
        <v>7</v>
      </c>
      <c r="C294" s="21" t="s">
        <v>135</v>
      </c>
      <c r="D294" s="21" t="s">
        <v>628</v>
      </c>
      <c r="E294" s="21" t="s">
        <v>1376</v>
      </c>
      <c r="F294" s="22">
        <v>48600</v>
      </c>
      <c r="G294" s="22">
        <v>48600</v>
      </c>
      <c r="H294" s="23">
        <v>6700</v>
      </c>
      <c r="I294" s="23">
        <v>6700</v>
      </c>
      <c r="J294" s="17"/>
    </row>
    <row r="295" spans="1:10">
      <c r="A295" s="18" t="s">
        <v>1059</v>
      </c>
      <c r="B295" s="20">
        <v>7</v>
      </c>
      <c r="C295" s="21" t="s">
        <v>339</v>
      </c>
      <c r="D295" s="21" t="s">
        <v>338</v>
      </c>
      <c r="E295" s="21" t="s">
        <v>1376</v>
      </c>
      <c r="F295" s="22">
        <v>438739.99999999994</v>
      </c>
      <c r="G295" s="22">
        <v>438740</v>
      </c>
      <c r="H295" s="23">
        <v>31342</v>
      </c>
      <c r="I295" s="23">
        <v>0</v>
      </c>
      <c r="J295" s="17"/>
    </row>
    <row r="296" spans="1:10">
      <c r="A296" s="18" t="s">
        <v>1060</v>
      </c>
      <c r="B296" s="20">
        <v>7</v>
      </c>
      <c r="C296" s="21" t="s">
        <v>339</v>
      </c>
      <c r="D296" s="21" t="s">
        <v>344</v>
      </c>
      <c r="E296" s="21" t="s">
        <v>1376</v>
      </c>
      <c r="F296" s="22">
        <v>13430.000000000002</v>
      </c>
      <c r="G296" s="22">
        <v>13430</v>
      </c>
      <c r="H296" s="23">
        <v>25800</v>
      </c>
      <c r="I296" s="23">
        <v>22500</v>
      </c>
      <c r="J296" s="17"/>
    </row>
    <row r="297" spans="1:10">
      <c r="A297" s="18" t="s">
        <v>1061</v>
      </c>
      <c r="B297" s="20">
        <v>7</v>
      </c>
      <c r="C297" s="21" t="s">
        <v>348</v>
      </c>
      <c r="D297" s="21" t="s">
        <v>347</v>
      </c>
      <c r="E297" s="21" t="s">
        <v>1376</v>
      </c>
      <c r="F297" s="22">
        <v>57660</v>
      </c>
      <c r="G297" s="22">
        <v>57660</v>
      </c>
      <c r="H297" s="23">
        <v>376551</v>
      </c>
      <c r="I297" s="23">
        <v>376551</v>
      </c>
      <c r="J297" s="17"/>
    </row>
    <row r="298" spans="1:10">
      <c r="A298" s="18" t="s">
        <v>1063</v>
      </c>
      <c r="B298" s="20">
        <v>7</v>
      </c>
      <c r="C298" s="21" t="s">
        <v>343</v>
      </c>
      <c r="D298" s="21" t="s">
        <v>342</v>
      </c>
      <c r="E298" s="21" t="s">
        <v>1376</v>
      </c>
      <c r="F298" s="22">
        <v>16475</v>
      </c>
      <c r="G298" s="22">
        <v>16475</v>
      </c>
      <c r="H298" s="23">
        <v>257350</v>
      </c>
      <c r="I298" s="23">
        <v>257350</v>
      </c>
      <c r="J298" s="17"/>
    </row>
    <row r="299" spans="1:10">
      <c r="A299" s="18" t="s">
        <v>1066</v>
      </c>
      <c r="B299" s="20">
        <v>7</v>
      </c>
      <c r="C299" s="21" t="s">
        <v>123</v>
      </c>
      <c r="D299" s="21" t="s">
        <v>345</v>
      </c>
      <c r="E299" s="21" t="s">
        <v>1388</v>
      </c>
      <c r="F299" s="22">
        <v>68390</v>
      </c>
      <c r="G299" s="22">
        <v>68390</v>
      </c>
      <c r="H299" s="23">
        <v>327428.00000000006</v>
      </c>
      <c r="I299" s="23">
        <v>327428</v>
      </c>
      <c r="J299" s="17"/>
    </row>
    <row r="300" spans="1:10">
      <c r="A300" s="18" t="s">
        <v>1067</v>
      </c>
      <c r="B300" s="20">
        <v>7</v>
      </c>
      <c r="C300" s="21" t="s">
        <v>123</v>
      </c>
      <c r="D300" s="21" t="s">
        <v>352</v>
      </c>
      <c r="E300" s="21" t="s">
        <v>1388</v>
      </c>
      <c r="F300" s="22">
        <v>11880</v>
      </c>
      <c r="G300" s="22">
        <v>11880</v>
      </c>
      <c r="H300" s="23">
        <v>48600</v>
      </c>
      <c r="I300" s="23">
        <v>48600</v>
      </c>
      <c r="J300" s="17"/>
    </row>
    <row r="301" spans="1:10">
      <c r="A301" s="18" t="s">
        <v>1068</v>
      </c>
      <c r="B301" s="20">
        <v>7</v>
      </c>
      <c r="C301" s="21" t="s">
        <v>123</v>
      </c>
      <c r="D301" s="21" t="s">
        <v>252</v>
      </c>
      <c r="E301" s="21" t="s">
        <v>1388</v>
      </c>
      <c r="F301" s="22">
        <v>156707</v>
      </c>
      <c r="G301" s="22">
        <v>152473.67000000001</v>
      </c>
      <c r="H301" s="23">
        <v>67243.14</v>
      </c>
      <c r="I301" s="23">
        <v>67243.14</v>
      </c>
      <c r="J301" s="17"/>
    </row>
    <row r="302" spans="1:10">
      <c r="A302" s="18" t="s">
        <v>1071</v>
      </c>
      <c r="B302" s="20">
        <v>7</v>
      </c>
      <c r="C302" s="21" t="s">
        <v>123</v>
      </c>
      <c r="D302" s="21" t="s">
        <v>122</v>
      </c>
      <c r="E302" s="21" t="s">
        <v>1388</v>
      </c>
      <c r="F302" s="22">
        <v>607397.00000000012</v>
      </c>
      <c r="G302" s="22">
        <v>607397</v>
      </c>
      <c r="H302" s="23">
        <v>71768</v>
      </c>
      <c r="I302" s="23">
        <v>71768</v>
      </c>
      <c r="J302" s="17"/>
    </row>
    <row r="303" spans="1:10">
      <c r="A303" s="18" t="s">
        <v>1072</v>
      </c>
      <c r="B303" s="20">
        <v>7</v>
      </c>
      <c r="C303" s="21" t="s">
        <v>123</v>
      </c>
      <c r="D303" s="21" t="s">
        <v>641</v>
      </c>
      <c r="E303" s="21" t="s">
        <v>1388</v>
      </c>
      <c r="F303" s="22">
        <v>37050</v>
      </c>
      <c r="G303" s="22">
        <v>37050</v>
      </c>
      <c r="H303" s="23">
        <v>191496.00000000003</v>
      </c>
      <c r="I303" s="23">
        <v>191495.99999999997</v>
      </c>
      <c r="J303" s="17"/>
    </row>
    <row r="304" spans="1:10">
      <c r="A304" s="18" t="s">
        <v>1073</v>
      </c>
      <c r="B304" s="20">
        <v>7</v>
      </c>
      <c r="C304" s="21" t="s">
        <v>83</v>
      </c>
      <c r="D304" s="21" t="s">
        <v>253</v>
      </c>
      <c r="E304" s="21" t="s">
        <v>1381</v>
      </c>
      <c r="F304" s="22">
        <v>46558.97</v>
      </c>
      <c r="G304" s="22">
        <v>42325.64</v>
      </c>
      <c r="H304" s="23">
        <v>134886</v>
      </c>
      <c r="I304" s="23">
        <v>134886</v>
      </c>
      <c r="J304" s="17"/>
    </row>
    <row r="305" spans="1:10">
      <c r="A305" s="18" t="s">
        <v>1074</v>
      </c>
      <c r="B305" s="20">
        <v>7</v>
      </c>
      <c r="C305" s="21" t="s">
        <v>83</v>
      </c>
      <c r="D305" s="21" t="s">
        <v>82</v>
      </c>
      <c r="E305" s="21" t="s">
        <v>1381</v>
      </c>
      <c r="F305" s="22">
        <v>601731</v>
      </c>
      <c r="G305" s="22">
        <v>601731</v>
      </c>
      <c r="H305" s="23">
        <v>282776</v>
      </c>
      <c r="I305" s="23">
        <v>282776</v>
      </c>
      <c r="J305" s="17"/>
    </row>
    <row r="306" spans="1:10">
      <c r="A306" s="18" t="s">
        <v>1076</v>
      </c>
      <c r="B306" s="20">
        <v>7</v>
      </c>
      <c r="C306" s="21" t="s">
        <v>83</v>
      </c>
      <c r="D306" s="21" t="s">
        <v>144</v>
      </c>
      <c r="E306" s="21" t="s">
        <v>1381</v>
      </c>
      <c r="F306" s="22">
        <v>659190</v>
      </c>
      <c r="G306" s="22">
        <v>659190</v>
      </c>
      <c r="H306" s="23">
        <v>46559</v>
      </c>
      <c r="I306" s="23">
        <v>46218</v>
      </c>
      <c r="J306" s="17"/>
    </row>
    <row r="307" spans="1:10">
      <c r="A307" s="18" t="s">
        <v>1078</v>
      </c>
      <c r="B307" s="20">
        <v>7</v>
      </c>
      <c r="C307" s="21" t="s">
        <v>83</v>
      </c>
      <c r="D307" s="21" t="s">
        <v>639</v>
      </c>
      <c r="E307" s="21" t="s">
        <v>1381</v>
      </c>
      <c r="F307" s="22">
        <v>35200</v>
      </c>
      <c r="G307" s="22">
        <v>35200</v>
      </c>
      <c r="H307" s="23">
        <v>659190</v>
      </c>
      <c r="I307" s="23">
        <v>659190</v>
      </c>
      <c r="J307" s="17"/>
    </row>
    <row r="308" spans="1:10">
      <c r="A308" s="18" t="s">
        <v>1079</v>
      </c>
      <c r="B308" s="20">
        <v>7</v>
      </c>
      <c r="C308" s="21" t="s">
        <v>83</v>
      </c>
      <c r="D308" s="21" t="s">
        <v>1444</v>
      </c>
      <c r="E308" s="21" t="s">
        <v>1381</v>
      </c>
      <c r="F308" s="22">
        <v>51799.550000000017</v>
      </c>
      <c r="G308" s="22">
        <v>51799.55</v>
      </c>
      <c r="H308" s="23">
        <v>35200</v>
      </c>
      <c r="I308" s="23">
        <v>35200</v>
      </c>
      <c r="J308" s="17"/>
    </row>
    <row r="309" spans="1:10">
      <c r="A309" s="18" t="s">
        <v>1080</v>
      </c>
      <c r="B309" s="20">
        <v>8</v>
      </c>
      <c r="C309" s="21" t="s">
        <v>261</v>
      </c>
      <c r="D309" s="21" t="s">
        <v>260</v>
      </c>
      <c r="E309" s="21" t="s">
        <v>1179</v>
      </c>
      <c r="F309" s="22">
        <v>1420896.01</v>
      </c>
      <c r="G309" s="22">
        <v>981629.6399999999</v>
      </c>
      <c r="H309" s="23">
        <v>438739.99999999983</v>
      </c>
      <c r="I309" s="23">
        <v>438740</v>
      </c>
      <c r="J309" s="17"/>
    </row>
    <row r="310" spans="1:10">
      <c r="A310" s="18" t="s">
        <v>1081</v>
      </c>
      <c r="B310" s="20">
        <v>8</v>
      </c>
      <c r="C310" s="21" t="s">
        <v>675</v>
      </c>
      <c r="D310" s="21" t="s">
        <v>674</v>
      </c>
      <c r="E310" s="21" t="s">
        <v>1445</v>
      </c>
      <c r="F310" s="22">
        <v>203859</v>
      </c>
      <c r="G310" s="22">
        <v>203859</v>
      </c>
      <c r="H310" s="23">
        <v>13429.999999999998</v>
      </c>
      <c r="I310" s="23">
        <v>13430</v>
      </c>
      <c r="J310" s="17"/>
    </row>
    <row r="311" spans="1:10">
      <c r="A311" s="18" t="s">
        <v>1082</v>
      </c>
      <c r="B311" s="20">
        <v>8</v>
      </c>
      <c r="C311" s="21" t="s">
        <v>100</v>
      </c>
      <c r="D311" s="21" t="s">
        <v>99</v>
      </c>
      <c r="E311" s="21" t="s">
        <v>1445</v>
      </c>
      <c r="F311" s="22">
        <v>521926.97</v>
      </c>
      <c r="G311" s="22">
        <v>521926.97</v>
      </c>
      <c r="H311" s="23">
        <v>57660.000000000007</v>
      </c>
      <c r="I311" s="23">
        <v>57660</v>
      </c>
      <c r="J311" s="17"/>
    </row>
    <row r="312" spans="1:10">
      <c r="A312" s="18" t="s">
        <v>1083</v>
      </c>
      <c r="B312" s="20">
        <v>8</v>
      </c>
      <c r="C312" s="21" t="s">
        <v>677</v>
      </c>
      <c r="D312" s="21" t="s">
        <v>676</v>
      </c>
      <c r="E312" s="21" t="s">
        <v>1445</v>
      </c>
      <c r="F312" s="22">
        <v>286062</v>
      </c>
      <c r="G312" s="22">
        <v>286062</v>
      </c>
      <c r="H312" s="23">
        <v>16475</v>
      </c>
      <c r="I312" s="23">
        <v>16475</v>
      </c>
      <c r="J312" s="17"/>
    </row>
    <row r="313" spans="1:10">
      <c r="A313" s="18" t="s">
        <v>1084</v>
      </c>
      <c r="B313" s="20">
        <v>8</v>
      </c>
      <c r="C313" s="21" t="s">
        <v>679</v>
      </c>
      <c r="D313" s="21" t="s">
        <v>678</v>
      </c>
      <c r="E313" s="21" t="s">
        <v>1445</v>
      </c>
      <c r="F313" s="22">
        <v>248029</v>
      </c>
      <c r="G313" s="22">
        <v>248029</v>
      </c>
      <c r="H313" s="23">
        <v>152855</v>
      </c>
      <c r="I313" s="23">
        <v>152855.00000000003</v>
      </c>
      <c r="J313" s="17"/>
    </row>
    <row r="314" spans="1:10">
      <c r="A314" s="18" t="s">
        <v>1085</v>
      </c>
      <c r="B314" s="20">
        <v>8</v>
      </c>
      <c r="C314" s="21" t="s">
        <v>125</v>
      </c>
      <c r="D314" s="21" t="s">
        <v>124</v>
      </c>
      <c r="E314" s="21" t="s">
        <v>1446</v>
      </c>
      <c r="F314" s="22">
        <v>477394.11999999982</v>
      </c>
      <c r="G314" s="22">
        <v>477394.12000000005</v>
      </c>
      <c r="H314" s="23">
        <v>186702.99999999997</v>
      </c>
      <c r="I314" s="23">
        <v>185936.9</v>
      </c>
      <c r="J314" s="17"/>
    </row>
    <row r="315" spans="1:10">
      <c r="A315" s="18" t="s">
        <v>1086</v>
      </c>
      <c r="B315" s="20">
        <v>8</v>
      </c>
      <c r="C315" s="21" t="s">
        <v>81</v>
      </c>
      <c r="D315" s="21" t="s">
        <v>80</v>
      </c>
      <c r="E315" s="21" t="s">
        <v>1448</v>
      </c>
      <c r="F315" s="22">
        <v>562601.30000000005</v>
      </c>
      <c r="G315" s="22">
        <v>562601.30000000016</v>
      </c>
      <c r="H315" s="23">
        <v>311428</v>
      </c>
      <c r="I315" s="23">
        <v>311428</v>
      </c>
      <c r="J315" s="17"/>
    </row>
    <row r="316" spans="1:10">
      <c r="A316" s="18" t="s">
        <v>1087</v>
      </c>
      <c r="B316" s="20">
        <v>8</v>
      </c>
      <c r="C316" s="21" t="s">
        <v>107</v>
      </c>
      <c r="D316" s="21" t="s">
        <v>106</v>
      </c>
      <c r="E316" s="21" t="s">
        <v>1448</v>
      </c>
      <c r="F316" s="22">
        <v>1854415.73</v>
      </c>
      <c r="G316" s="22">
        <v>1854415.73</v>
      </c>
      <c r="H316" s="23">
        <v>22150</v>
      </c>
      <c r="I316" s="23">
        <v>22150</v>
      </c>
      <c r="J316" s="17"/>
    </row>
    <row r="317" spans="1:10">
      <c r="A317" s="18" t="s">
        <v>1088</v>
      </c>
      <c r="B317" s="20">
        <v>8</v>
      </c>
      <c r="C317" s="21" t="s">
        <v>480</v>
      </c>
      <c r="D317" s="21" t="s">
        <v>479</v>
      </c>
      <c r="E317" s="21" t="s">
        <v>1448</v>
      </c>
      <c r="F317" s="22">
        <v>92968.56</v>
      </c>
      <c r="G317" s="22">
        <v>92968.559999999983</v>
      </c>
      <c r="H317" s="23">
        <v>121488.15</v>
      </c>
      <c r="I317" s="23">
        <v>121488.15</v>
      </c>
      <c r="J317" s="17"/>
    </row>
    <row r="318" spans="1:10" ht="25.5">
      <c r="A318" s="18" t="s">
        <v>1090</v>
      </c>
      <c r="B318" s="20">
        <v>8</v>
      </c>
      <c r="C318" s="21" t="s">
        <v>141</v>
      </c>
      <c r="D318" s="21" t="s">
        <v>140</v>
      </c>
      <c r="E318" s="21" t="s">
        <v>1449</v>
      </c>
      <c r="F318" s="22">
        <v>400035.5</v>
      </c>
      <c r="G318" s="22">
        <v>400035.5</v>
      </c>
      <c r="H318" s="23">
        <v>115778.33</v>
      </c>
      <c r="I318" s="23">
        <v>115778.33</v>
      </c>
      <c r="J318" s="17"/>
    </row>
    <row r="319" spans="1:10" ht="25.5">
      <c r="A319" s="18" t="s">
        <v>1092</v>
      </c>
      <c r="B319" s="20">
        <v>8</v>
      </c>
      <c r="C319" s="21" t="s">
        <v>102</v>
      </c>
      <c r="D319" s="21" t="s">
        <v>101</v>
      </c>
      <c r="E319" s="21" t="s">
        <v>1449</v>
      </c>
      <c r="F319" s="22">
        <v>602758.79</v>
      </c>
      <c r="G319" s="22">
        <v>602758.78999999992</v>
      </c>
      <c r="H319" s="23">
        <v>45504.130000000005</v>
      </c>
      <c r="I319" s="23">
        <v>45504.13</v>
      </c>
      <c r="J319" s="17"/>
    </row>
    <row r="320" spans="1:10" ht="25.5">
      <c r="A320" s="18" t="s">
        <v>1093</v>
      </c>
      <c r="B320" s="20">
        <v>8</v>
      </c>
      <c r="C320" s="21" t="s">
        <v>93</v>
      </c>
      <c r="D320" s="21" t="s">
        <v>92</v>
      </c>
      <c r="E320" s="21" t="s">
        <v>1449</v>
      </c>
      <c r="F320" s="22">
        <v>322613.74000000005</v>
      </c>
      <c r="G320" s="22">
        <v>322613.74000000005</v>
      </c>
      <c r="H320" s="23">
        <v>228657.66</v>
      </c>
      <c r="I320" s="23">
        <v>228657.66000000003</v>
      </c>
      <c r="J320" s="17"/>
    </row>
    <row r="321" spans="1:10" ht="25.5">
      <c r="A321" s="18" t="s">
        <v>1094</v>
      </c>
      <c r="B321" s="20">
        <v>8</v>
      </c>
      <c r="C321" s="21" t="s">
        <v>100</v>
      </c>
      <c r="D321" s="21" t="s">
        <v>1450</v>
      </c>
      <c r="E321" s="21" t="s">
        <v>1451</v>
      </c>
      <c r="F321" s="22">
        <v>725717.29999999981</v>
      </c>
      <c r="G321" s="22">
        <v>725717.29999999981</v>
      </c>
      <c r="H321" s="23">
        <v>160486.04</v>
      </c>
      <c r="I321" s="23">
        <v>160486.04</v>
      </c>
      <c r="J321" s="17"/>
    </row>
    <row r="322" spans="1:10" ht="25.5">
      <c r="A322" s="18" t="s">
        <v>1096</v>
      </c>
      <c r="B322" s="20">
        <v>8</v>
      </c>
      <c r="C322" s="21" t="s">
        <v>102</v>
      </c>
      <c r="D322" s="21" t="s">
        <v>1452</v>
      </c>
      <c r="E322" s="21" t="s">
        <v>1451</v>
      </c>
      <c r="F322" s="22">
        <v>408787.47000000003</v>
      </c>
      <c r="G322" s="22">
        <v>408787.47000000009</v>
      </c>
      <c r="H322" s="23">
        <v>119347.83</v>
      </c>
      <c r="I322" s="23">
        <v>119347.83</v>
      </c>
      <c r="J322" s="17"/>
    </row>
    <row r="323" spans="1:10">
      <c r="A323" s="18" t="s">
        <v>1097</v>
      </c>
      <c r="B323" s="20">
        <v>8</v>
      </c>
      <c r="C323" s="21" t="s">
        <v>125</v>
      </c>
      <c r="D323" s="21" t="s">
        <v>1447</v>
      </c>
      <c r="E323" s="21" t="s">
        <v>1184</v>
      </c>
      <c r="F323" s="22">
        <v>883809.57</v>
      </c>
      <c r="G323" s="22">
        <v>883809.57000000007</v>
      </c>
      <c r="H323" s="23">
        <v>8915.35</v>
      </c>
      <c r="I323" s="23">
        <v>8915.3499999999985</v>
      </c>
      <c r="J323" s="17"/>
    </row>
    <row r="324" spans="1:10">
      <c r="A324" s="18" t="s">
        <v>1099</v>
      </c>
      <c r="B324" s="20">
        <v>8</v>
      </c>
      <c r="C324" s="21" t="s">
        <v>699</v>
      </c>
      <c r="D324" s="21" t="s">
        <v>698</v>
      </c>
      <c r="E324" s="21" t="s">
        <v>1184</v>
      </c>
      <c r="F324" s="22">
        <v>729819.60000000009</v>
      </c>
      <c r="G324" s="22">
        <v>729819.6</v>
      </c>
      <c r="H324" s="23">
        <v>327671.13</v>
      </c>
      <c r="I324" s="23">
        <v>327671.12999999995</v>
      </c>
      <c r="J324" s="17"/>
    </row>
    <row r="325" spans="1:10">
      <c r="A325" s="18" t="s">
        <v>1100</v>
      </c>
      <c r="B325" s="20">
        <v>8</v>
      </c>
      <c r="C325" s="21" t="s">
        <v>133</v>
      </c>
      <c r="D325" s="21" t="s">
        <v>132</v>
      </c>
      <c r="E325" s="21" t="s">
        <v>1184</v>
      </c>
      <c r="F325" s="22">
        <v>1583243.38</v>
      </c>
      <c r="G325" s="22">
        <v>1583243.3800000001</v>
      </c>
      <c r="H325" s="23">
        <v>31261.18</v>
      </c>
      <c r="I325" s="23">
        <v>31261.18</v>
      </c>
      <c r="J325" s="17"/>
    </row>
    <row r="326" spans="1:10">
      <c r="A326" s="18" t="s">
        <v>1101</v>
      </c>
      <c r="B326" s="20">
        <v>8</v>
      </c>
      <c r="C326" s="21" t="s">
        <v>137</v>
      </c>
      <c r="D326" s="21" t="s">
        <v>136</v>
      </c>
      <c r="E326" s="21" t="s">
        <v>1184</v>
      </c>
      <c r="F326" s="22">
        <v>506399.42000000004</v>
      </c>
      <c r="G326" s="22">
        <v>506399.42</v>
      </c>
      <c r="H326" s="23">
        <v>172244.43</v>
      </c>
      <c r="I326" s="23">
        <v>172244.43</v>
      </c>
      <c r="J326" s="17"/>
    </row>
    <row r="327" spans="1:10">
      <c r="A327" s="18" t="s">
        <v>1102</v>
      </c>
      <c r="B327" s="20">
        <v>8</v>
      </c>
      <c r="C327" s="21" t="s">
        <v>143</v>
      </c>
      <c r="D327" s="21" t="s">
        <v>142</v>
      </c>
      <c r="E327" s="21" t="s">
        <v>1191</v>
      </c>
      <c r="F327" s="22">
        <v>2226853.5299999989</v>
      </c>
      <c r="G327" s="22">
        <v>2226853.5300000003</v>
      </c>
      <c r="H327" s="23">
        <v>156707</v>
      </c>
      <c r="I327" s="23">
        <v>156707</v>
      </c>
      <c r="J327" s="17"/>
    </row>
    <row r="328" spans="1:10">
      <c r="A328" s="18" t="s">
        <v>1103</v>
      </c>
      <c r="B328" s="20">
        <v>8</v>
      </c>
      <c r="C328" s="21" t="s">
        <v>524</v>
      </c>
      <c r="D328" s="21" t="s">
        <v>523</v>
      </c>
      <c r="E328" s="21" t="s">
        <v>1180</v>
      </c>
      <c r="F328" s="22">
        <v>81245.490000000005</v>
      </c>
      <c r="G328" s="22">
        <v>81245.490000000005</v>
      </c>
      <c r="H328" s="23">
        <v>607397</v>
      </c>
      <c r="I328" s="23">
        <v>607397</v>
      </c>
      <c r="J328" s="17"/>
    </row>
    <row r="329" spans="1:10">
      <c r="A329" s="18" t="s">
        <v>1104</v>
      </c>
      <c r="B329" s="20">
        <v>8</v>
      </c>
      <c r="C329" s="21" t="s">
        <v>695</v>
      </c>
      <c r="D329" s="21" t="s">
        <v>694</v>
      </c>
      <c r="E329" s="21" t="s">
        <v>1306</v>
      </c>
      <c r="F329" s="22">
        <v>12158.520000000019</v>
      </c>
      <c r="G329" s="22">
        <v>12158.52</v>
      </c>
      <c r="H329" s="23">
        <v>37050</v>
      </c>
      <c r="I329" s="23">
        <v>37050</v>
      </c>
      <c r="J329" s="17"/>
    </row>
    <row r="330" spans="1:10">
      <c r="A330" s="18" t="s">
        <v>1105</v>
      </c>
      <c r="B330" s="20">
        <v>8</v>
      </c>
      <c r="C330" s="21" t="s">
        <v>433</v>
      </c>
      <c r="D330" s="21" t="s">
        <v>432</v>
      </c>
      <c r="E330" s="21" t="s">
        <v>1364</v>
      </c>
      <c r="F330" s="22">
        <v>691756.24</v>
      </c>
      <c r="G330" s="22">
        <v>691756.24000000011</v>
      </c>
      <c r="H330" s="23">
        <v>68390</v>
      </c>
      <c r="I330" s="23">
        <v>68390</v>
      </c>
      <c r="J330" s="17"/>
    </row>
    <row r="331" spans="1:10">
      <c r="A331" s="18" t="s">
        <v>1108</v>
      </c>
      <c r="B331" s="20">
        <v>9</v>
      </c>
      <c r="C331" s="21" t="s">
        <v>657</v>
      </c>
      <c r="D331" s="21" t="s">
        <v>656</v>
      </c>
      <c r="E331" s="21" t="s">
        <v>1159</v>
      </c>
      <c r="F331" s="22">
        <v>7983.58</v>
      </c>
      <c r="G331" s="22">
        <v>7983.58</v>
      </c>
      <c r="H331" s="23">
        <v>677954.75</v>
      </c>
      <c r="I331" s="23">
        <v>677954.75</v>
      </c>
      <c r="J331" s="17"/>
    </row>
    <row r="332" spans="1:10">
      <c r="A332" s="18" t="s">
        <v>1110</v>
      </c>
      <c r="B332" s="20">
        <v>9</v>
      </c>
      <c r="C332" s="21" t="s">
        <v>602</v>
      </c>
      <c r="D332" s="21" t="s">
        <v>601</v>
      </c>
      <c r="E332" s="21" t="s">
        <v>1162</v>
      </c>
      <c r="F332" s="22">
        <v>3200</v>
      </c>
      <c r="G332" s="22">
        <v>3200</v>
      </c>
      <c r="H332" s="23">
        <v>406539.61</v>
      </c>
      <c r="I332" s="23">
        <v>406539.61000000004</v>
      </c>
      <c r="J332" s="17"/>
    </row>
    <row r="333" spans="1:10">
      <c r="A333" s="18" t="s">
        <v>1111</v>
      </c>
      <c r="B333" s="20">
        <v>9</v>
      </c>
      <c r="C333" s="21" t="s">
        <v>600</v>
      </c>
      <c r="D333" s="21" t="s">
        <v>599</v>
      </c>
      <c r="E333" s="21" t="s">
        <v>1160</v>
      </c>
      <c r="F333" s="22">
        <v>1000</v>
      </c>
      <c r="G333" s="22">
        <v>1000</v>
      </c>
      <c r="H333" s="23">
        <v>2481472.12</v>
      </c>
      <c r="I333" s="23">
        <v>215115.81</v>
      </c>
      <c r="J333" s="17"/>
    </row>
    <row r="334" spans="1:10">
      <c r="A334" s="18" t="s">
        <v>1112</v>
      </c>
      <c r="B334" s="20">
        <v>9</v>
      </c>
      <c r="C334" s="21" t="s">
        <v>545</v>
      </c>
      <c r="D334" s="21" t="s">
        <v>544</v>
      </c>
      <c r="E334" s="21" t="s">
        <v>1158</v>
      </c>
      <c r="F334" s="22">
        <v>1000</v>
      </c>
      <c r="G334" s="22">
        <v>1000</v>
      </c>
      <c r="H334" s="23">
        <v>1169159.3999999999</v>
      </c>
      <c r="I334" s="23">
        <v>863912.47000000009</v>
      </c>
      <c r="J334" s="17"/>
    </row>
    <row r="335" spans="1:10">
      <c r="A335" s="18" t="s">
        <v>1113</v>
      </c>
      <c r="B335" s="20">
        <v>9</v>
      </c>
      <c r="C335" s="21" t="s">
        <v>424</v>
      </c>
      <c r="D335" s="21" t="s">
        <v>423</v>
      </c>
      <c r="E335" s="21" t="s">
        <v>1178</v>
      </c>
      <c r="F335" s="22">
        <v>3240</v>
      </c>
      <c r="G335" s="22">
        <v>3240</v>
      </c>
      <c r="H335" s="23">
        <v>36660</v>
      </c>
      <c r="I335" s="23">
        <v>0</v>
      </c>
      <c r="J335" s="17"/>
    </row>
    <row r="336" spans="1:10">
      <c r="A336" s="18" t="s">
        <v>1114</v>
      </c>
      <c r="B336" s="20">
        <v>9</v>
      </c>
      <c r="C336" s="21" t="s">
        <v>511</v>
      </c>
      <c r="D336" s="21" t="s">
        <v>510</v>
      </c>
      <c r="E336" s="21" t="s">
        <v>1176</v>
      </c>
      <c r="F336" s="22">
        <v>1870214.0099999995</v>
      </c>
      <c r="G336" s="22">
        <v>1870214.01</v>
      </c>
      <c r="H336" s="23">
        <v>92080</v>
      </c>
      <c r="I336" s="23">
        <v>0</v>
      </c>
      <c r="J336" s="17"/>
    </row>
    <row r="337" spans="1:10">
      <c r="A337" s="18" t="s">
        <v>1115</v>
      </c>
      <c r="B337" s="20">
        <v>9</v>
      </c>
      <c r="C337" s="21" t="s">
        <v>41</v>
      </c>
      <c r="D337" s="21" t="s">
        <v>40</v>
      </c>
      <c r="E337" s="21" t="s">
        <v>1169</v>
      </c>
      <c r="F337" s="22">
        <v>38939.879999999997</v>
      </c>
      <c r="G337" s="22">
        <v>38939.880000000005</v>
      </c>
      <c r="H337" s="23">
        <v>706550.74</v>
      </c>
      <c r="I337" s="23">
        <v>706550.74</v>
      </c>
      <c r="J337" s="17"/>
    </row>
    <row r="338" spans="1:10">
      <c r="A338" s="18" t="s">
        <v>1116</v>
      </c>
      <c r="B338" s="20">
        <v>9</v>
      </c>
      <c r="C338" s="21" t="s">
        <v>561</v>
      </c>
      <c r="D338" s="21" t="s">
        <v>684</v>
      </c>
      <c r="E338" s="21" t="s">
        <v>1457</v>
      </c>
      <c r="F338" s="22">
        <v>25150</v>
      </c>
      <c r="G338" s="22">
        <v>25150</v>
      </c>
      <c r="H338" s="23">
        <v>75812.479999999996</v>
      </c>
      <c r="I338" s="23">
        <v>58264.669999999991</v>
      </c>
      <c r="J338" s="17"/>
    </row>
    <row r="339" spans="1:10">
      <c r="A339" s="18" t="s">
        <v>1117</v>
      </c>
      <c r="B339" s="20">
        <v>9</v>
      </c>
      <c r="C339" s="21" t="s">
        <v>561</v>
      </c>
      <c r="D339" s="21" t="s">
        <v>682</v>
      </c>
      <c r="E339" s="21" t="s">
        <v>1456</v>
      </c>
      <c r="F339" s="22">
        <v>25261</v>
      </c>
      <c r="G339" s="22">
        <v>25261</v>
      </c>
      <c r="H339" s="23">
        <v>94630.94</v>
      </c>
      <c r="I339" s="23">
        <v>94536.37</v>
      </c>
      <c r="J339" s="17"/>
    </row>
    <row r="340" spans="1:10">
      <c r="A340" s="18" t="s">
        <v>1118</v>
      </c>
      <c r="B340" s="20">
        <v>9</v>
      </c>
      <c r="C340" s="21" t="s">
        <v>561</v>
      </c>
      <c r="D340" s="21" t="s">
        <v>683</v>
      </c>
      <c r="E340" s="21" t="s">
        <v>1455</v>
      </c>
      <c r="F340" s="22">
        <v>15146</v>
      </c>
      <c r="G340" s="22">
        <v>15146</v>
      </c>
      <c r="H340" s="23">
        <v>51289.119999999995</v>
      </c>
      <c r="I340" s="23">
        <v>44634.96</v>
      </c>
      <c r="J340" s="17"/>
    </row>
    <row r="341" spans="1:10">
      <c r="A341" s="18" t="s">
        <v>1119</v>
      </c>
      <c r="B341" s="20">
        <v>9</v>
      </c>
      <c r="C341" s="21" t="s">
        <v>561</v>
      </c>
      <c r="D341" s="21" t="s">
        <v>663</v>
      </c>
      <c r="E341" s="21" t="s">
        <v>1459</v>
      </c>
      <c r="F341" s="22">
        <v>72807.649999999994</v>
      </c>
      <c r="G341" s="22">
        <v>72807.649999999994</v>
      </c>
      <c r="H341" s="23">
        <v>84956.160000000003</v>
      </c>
      <c r="I341" s="23">
        <v>76534.819999999992</v>
      </c>
      <c r="J341" s="17"/>
    </row>
    <row r="342" spans="1:10">
      <c r="A342" s="18" t="s">
        <v>1120</v>
      </c>
      <c r="B342" s="20">
        <v>9</v>
      </c>
      <c r="C342" s="21" t="s">
        <v>561</v>
      </c>
      <c r="D342" s="21" t="s">
        <v>658</v>
      </c>
      <c r="E342" s="21" t="s">
        <v>1458</v>
      </c>
      <c r="F342" s="22">
        <v>48370</v>
      </c>
      <c r="G342" s="22">
        <v>48370</v>
      </c>
      <c r="H342" s="23">
        <v>40048.370000000003</v>
      </c>
      <c r="I342" s="23">
        <v>40048.369999999995</v>
      </c>
      <c r="J342" s="17"/>
    </row>
    <row r="343" spans="1:10">
      <c r="A343" s="18" t="s">
        <v>1121</v>
      </c>
      <c r="B343" s="20">
        <v>9</v>
      </c>
      <c r="C343" s="21" t="s">
        <v>561</v>
      </c>
      <c r="D343" s="21" t="s">
        <v>681</v>
      </c>
      <c r="E343" s="21" t="s">
        <v>1454</v>
      </c>
      <c r="F343" s="22">
        <v>15146</v>
      </c>
      <c r="G343" s="22">
        <v>15146</v>
      </c>
      <c r="H343" s="23">
        <v>232363</v>
      </c>
      <c r="I343" s="23">
        <v>206328.49</v>
      </c>
      <c r="J343" s="17"/>
    </row>
    <row r="344" spans="1:10">
      <c r="A344" s="18" t="s">
        <v>1122</v>
      </c>
      <c r="B344" s="20">
        <v>9</v>
      </c>
      <c r="C344" s="21" t="s">
        <v>561</v>
      </c>
      <c r="D344" s="21" t="s">
        <v>560</v>
      </c>
      <c r="E344" s="21" t="s">
        <v>1454</v>
      </c>
      <c r="F344" s="22">
        <v>2860</v>
      </c>
      <c r="G344" s="22">
        <v>2860</v>
      </c>
      <c r="H344" s="23">
        <v>336867</v>
      </c>
      <c r="I344" s="23">
        <v>319990</v>
      </c>
      <c r="J344" s="17"/>
    </row>
    <row r="345" spans="1:10">
      <c r="A345" s="18" t="s">
        <v>1123</v>
      </c>
      <c r="B345" s="20">
        <v>9</v>
      </c>
      <c r="C345" s="21" t="s">
        <v>551</v>
      </c>
      <c r="D345" s="21" t="s">
        <v>550</v>
      </c>
      <c r="E345" s="21" t="s">
        <v>1177</v>
      </c>
      <c r="F345" s="22">
        <v>30504.31</v>
      </c>
      <c r="G345" s="22">
        <v>27674.31</v>
      </c>
      <c r="H345" s="23">
        <v>52713.919999999998</v>
      </c>
      <c r="I345" s="23">
        <v>52713.920000000006</v>
      </c>
      <c r="J345" s="17"/>
    </row>
    <row r="346" spans="1:10">
      <c r="A346" s="18" t="s">
        <v>1125</v>
      </c>
      <c r="B346" s="20">
        <v>9</v>
      </c>
      <c r="C346" s="21" t="s">
        <v>87</v>
      </c>
      <c r="D346" s="21" t="s">
        <v>86</v>
      </c>
      <c r="E346" s="21" t="s">
        <v>1165</v>
      </c>
      <c r="F346" s="22">
        <v>1181.1199999999999</v>
      </c>
      <c r="G346" s="22">
        <v>1181.1199999999999</v>
      </c>
      <c r="H346" s="23">
        <v>775920.48999999976</v>
      </c>
      <c r="I346" s="23">
        <v>775920.49</v>
      </c>
      <c r="J346" s="17"/>
    </row>
    <row r="347" spans="1:10">
      <c r="A347" s="18" t="s">
        <v>1126</v>
      </c>
      <c r="B347" s="20">
        <v>9</v>
      </c>
      <c r="C347" s="21" t="s">
        <v>400</v>
      </c>
      <c r="D347" s="21" t="s">
        <v>399</v>
      </c>
      <c r="E347" s="21" t="s">
        <v>1174</v>
      </c>
      <c r="F347" s="22">
        <v>32575</v>
      </c>
      <c r="G347" s="22">
        <v>32574.999999999996</v>
      </c>
      <c r="H347" s="23">
        <v>427083.32999999996</v>
      </c>
      <c r="I347" s="23">
        <v>377420.76000000007</v>
      </c>
      <c r="J347" s="17"/>
    </row>
    <row r="348" spans="1:10">
      <c r="A348" s="18" t="s">
        <v>1127</v>
      </c>
      <c r="B348" s="20">
        <v>9</v>
      </c>
      <c r="C348" s="21" t="s">
        <v>217</v>
      </c>
      <c r="D348" s="21" t="s">
        <v>216</v>
      </c>
      <c r="E348" s="21" t="s">
        <v>1167</v>
      </c>
      <c r="F348" s="22">
        <v>937043.06000000017</v>
      </c>
      <c r="G348" s="22">
        <v>937043.06000000017</v>
      </c>
      <c r="H348" s="23">
        <v>42894.029999999992</v>
      </c>
      <c r="I348" s="23">
        <v>42894.030000000006</v>
      </c>
      <c r="J348" s="17"/>
    </row>
    <row r="349" spans="1:10">
      <c r="A349" s="18" t="s">
        <v>1128</v>
      </c>
      <c r="B349" s="20">
        <v>9</v>
      </c>
      <c r="C349" s="21" t="s">
        <v>217</v>
      </c>
      <c r="D349" s="21" t="s">
        <v>598</v>
      </c>
      <c r="E349" s="21" t="s">
        <v>1168</v>
      </c>
      <c r="F349" s="22">
        <v>1500</v>
      </c>
      <c r="G349" s="22">
        <v>1500</v>
      </c>
      <c r="H349" s="23">
        <v>32401.3</v>
      </c>
      <c r="I349" s="23">
        <v>32401.3</v>
      </c>
      <c r="J349" s="17"/>
    </row>
    <row r="350" spans="1:10">
      <c r="A350" s="18" t="s">
        <v>1129</v>
      </c>
      <c r="B350" s="20">
        <v>9</v>
      </c>
      <c r="C350" s="21" t="s">
        <v>217</v>
      </c>
      <c r="D350" s="21" t="s">
        <v>1453</v>
      </c>
      <c r="E350" s="21" t="s">
        <v>1168</v>
      </c>
      <c r="F350" s="22">
        <v>205431</v>
      </c>
      <c r="G350" s="22">
        <v>198878.65</v>
      </c>
      <c r="H350" s="23">
        <v>76986</v>
      </c>
      <c r="I350" s="23">
        <v>44280</v>
      </c>
      <c r="J350" s="17"/>
    </row>
    <row r="351" spans="1:10">
      <c r="A351" s="18" t="s">
        <v>1132</v>
      </c>
      <c r="B351" s="20">
        <v>9</v>
      </c>
      <c r="C351" s="21" t="s">
        <v>515</v>
      </c>
      <c r="D351" s="21" t="s">
        <v>514</v>
      </c>
      <c r="E351" s="21" t="s">
        <v>1173</v>
      </c>
      <c r="F351" s="22">
        <v>13825</v>
      </c>
      <c r="G351" s="22">
        <v>13825</v>
      </c>
      <c r="H351" s="23">
        <v>70873.119999999995</v>
      </c>
      <c r="I351" s="23">
        <v>70873.119999999995</v>
      </c>
      <c r="J351" s="17"/>
    </row>
    <row r="352" spans="1:10" ht="25.5">
      <c r="A352" s="18" t="s">
        <v>1133</v>
      </c>
      <c r="B352" s="20">
        <v>9</v>
      </c>
      <c r="C352" s="21" t="s">
        <v>21</v>
      </c>
      <c r="D352" s="21" t="s">
        <v>20</v>
      </c>
      <c r="E352" s="21" t="s">
        <v>1233</v>
      </c>
      <c r="F352" s="22">
        <v>2040133.66</v>
      </c>
      <c r="G352" s="22">
        <v>1940858.93</v>
      </c>
      <c r="H352" s="23">
        <v>42162.78</v>
      </c>
      <c r="I352" s="23">
        <v>42162.780000000006</v>
      </c>
      <c r="J352" s="17"/>
    </row>
    <row r="353" spans="1:10">
      <c r="A353" s="18" t="s">
        <v>1134</v>
      </c>
      <c r="B353" s="20">
        <v>9</v>
      </c>
      <c r="C353" s="21" t="s">
        <v>9</v>
      </c>
      <c r="D353" s="21" t="s">
        <v>213</v>
      </c>
      <c r="E353" s="21" t="s">
        <v>1461</v>
      </c>
      <c r="F353" s="22">
        <v>268791.17000000004</v>
      </c>
      <c r="G353" s="22">
        <v>268791.17000000004</v>
      </c>
      <c r="H353" s="23">
        <v>31354.28</v>
      </c>
      <c r="I353" s="23">
        <v>31354.28</v>
      </c>
      <c r="J353" s="17"/>
    </row>
    <row r="354" spans="1:10">
      <c r="A354" s="18" t="s">
        <v>1135</v>
      </c>
      <c r="B354" s="20">
        <v>9</v>
      </c>
      <c r="C354" s="21" t="s">
        <v>9</v>
      </c>
      <c r="D354" s="21" t="s">
        <v>215</v>
      </c>
      <c r="E354" s="21" t="s">
        <v>1461</v>
      </c>
      <c r="F354" s="22">
        <v>132120.09999999998</v>
      </c>
      <c r="G354" s="22">
        <v>132120.1</v>
      </c>
      <c r="H354" s="23">
        <v>162806.08999999997</v>
      </c>
      <c r="I354" s="23">
        <v>155016.57999999999</v>
      </c>
      <c r="J354" s="17"/>
    </row>
    <row r="355" spans="1:10">
      <c r="A355" s="18" t="s">
        <v>1136</v>
      </c>
      <c r="B355" s="20">
        <v>9</v>
      </c>
      <c r="C355" s="21" t="s">
        <v>9</v>
      </c>
      <c r="D355" s="21" t="s">
        <v>8</v>
      </c>
      <c r="E355" s="21" t="s">
        <v>1461</v>
      </c>
      <c r="F355" s="22">
        <v>859589.01000000013</v>
      </c>
      <c r="G355" s="22">
        <v>859589.00999999989</v>
      </c>
      <c r="H355" s="23">
        <v>41531.300000000003</v>
      </c>
      <c r="I355" s="23">
        <v>41531.299999999996</v>
      </c>
      <c r="J355" s="17"/>
    </row>
    <row r="356" spans="1:10">
      <c r="A356" s="18" t="s">
        <v>1137</v>
      </c>
      <c r="B356" s="20">
        <v>9</v>
      </c>
      <c r="C356" s="21" t="s">
        <v>9</v>
      </c>
      <c r="D356" s="21" t="s">
        <v>214</v>
      </c>
      <c r="E356" s="21" t="s">
        <v>1461</v>
      </c>
      <c r="F356" s="22">
        <v>57404.33</v>
      </c>
      <c r="G356" s="22">
        <v>57404.33</v>
      </c>
      <c r="H356" s="23">
        <v>15305.46</v>
      </c>
      <c r="I356" s="23">
        <v>15305.46</v>
      </c>
      <c r="J356" s="17"/>
    </row>
    <row r="357" spans="1:10">
      <c r="A357" s="18" t="s">
        <v>1138</v>
      </c>
      <c r="B357" s="20">
        <v>9</v>
      </c>
      <c r="C357" s="21" t="s">
        <v>9</v>
      </c>
      <c r="D357" s="21" t="s">
        <v>212</v>
      </c>
      <c r="E357" s="21" t="s">
        <v>1461</v>
      </c>
      <c r="F357" s="22">
        <v>104529.85999999999</v>
      </c>
      <c r="G357" s="22">
        <v>104529.85999999999</v>
      </c>
      <c r="H357" s="23">
        <v>42648.47</v>
      </c>
      <c r="I357" s="23">
        <v>42648.469999999994</v>
      </c>
      <c r="J357" s="17"/>
    </row>
    <row r="358" spans="1:10">
      <c r="A358" s="18" t="s">
        <v>1139</v>
      </c>
      <c r="B358" s="20">
        <v>9</v>
      </c>
      <c r="C358" s="21" t="s">
        <v>9</v>
      </c>
      <c r="D358" s="21" t="s">
        <v>442</v>
      </c>
      <c r="E358" s="21" t="s">
        <v>1461</v>
      </c>
      <c r="F358" s="22">
        <v>17965</v>
      </c>
      <c r="G358" s="22">
        <v>15653.84</v>
      </c>
      <c r="H358" s="23">
        <v>59388</v>
      </c>
      <c r="I358" s="23">
        <v>59388</v>
      </c>
      <c r="J358" s="17"/>
    </row>
    <row r="359" spans="1:10">
      <c r="A359" s="18" t="s">
        <v>1140</v>
      </c>
      <c r="B359" s="20">
        <v>9</v>
      </c>
      <c r="C359" s="21" t="s">
        <v>303</v>
      </c>
      <c r="D359" s="21" t="s">
        <v>317</v>
      </c>
      <c r="E359" s="21" t="s">
        <v>1329</v>
      </c>
      <c r="F359" s="22">
        <v>108656.35</v>
      </c>
      <c r="G359" s="22">
        <v>108656.35</v>
      </c>
      <c r="H359" s="23">
        <v>549226.47000000009</v>
      </c>
      <c r="I359" s="23">
        <v>549226.47</v>
      </c>
      <c r="J359" s="17"/>
    </row>
    <row r="360" spans="1:10">
      <c r="A360" s="18" t="s">
        <v>1141</v>
      </c>
      <c r="B360" s="20">
        <v>9</v>
      </c>
      <c r="C360" s="21" t="s">
        <v>303</v>
      </c>
      <c r="D360" s="21" t="s">
        <v>538</v>
      </c>
      <c r="E360" s="21" t="s">
        <v>1329</v>
      </c>
      <c r="F360" s="22">
        <v>58372.37</v>
      </c>
      <c r="G360" s="22">
        <v>58372.369999999995</v>
      </c>
      <c r="H360" s="23">
        <v>569926</v>
      </c>
      <c r="I360" s="23">
        <v>569926</v>
      </c>
      <c r="J360" s="17"/>
    </row>
    <row r="361" spans="1:10">
      <c r="A361" s="18" t="s">
        <v>1142</v>
      </c>
      <c r="B361" s="20">
        <v>9</v>
      </c>
      <c r="C361" s="21" t="s">
        <v>303</v>
      </c>
      <c r="D361" s="21" t="s">
        <v>308</v>
      </c>
      <c r="E361" s="21" t="s">
        <v>1329</v>
      </c>
      <c r="F361" s="22">
        <v>750722.64999999991</v>
      </c>
      <c r="G361" s="22">
        <v>750722.65</v>
      </c>
      <c r="H361" s="23">
        <v>411961.46000000008</v>
      </c>
      <c r="I361" s="23">
        <v>411961.45999999996</v>
      </c>
      <c r="J361" s="17"/>
    </row>
    <row r="362" spans="1:10">
      <c r="A362" s="18" t="s">
        <v>1143</v>
      </c>
      <c r="B362" s="20">
        <v>9</v>
      </c>
      <c r="C362" s="21" t="s">
        <v>303</v>
      </c>
      <c r="D362" s="21" t="s">
        <v>309</v>
      </c>
      <c r="E362" s="21" t="s">
        <v>1329</v>
      </c>
      <c r="F362" s="22">
        <v>37077.370000000003</v>
      </c>
      <c r="G362" s="22">
        <v>37077.370000000003</v>
      </c>
      <c r="H362" s="23">
        <v>655646.64999999991</v>
      </c>
      <c r="I362" s="23">
        <v>655646.65000000014</v>
      </c>
      <c r="J362" s="17"/>
    </row>
    <row r="363" spans="1:10">
      <c r="A363" s="18" t="s">
        <v>1144</v>
      </c>
      <c r="B363" s="20">
        <v>9</v>
      </c>
      <c r="C363" s="21" t="s">
        <v>303</v>
      </c>
      <c r="D363" s="21" t="s">
        <v>312</v>
      </c>
      <c r="E363" s="21" t="s">
        <v>1329</v>
      </c>
      <c r="F363" s="22">
        <v>140267.37</v>
      </c>
      <c r="G363" s="22">
        <v>140267.37</v>
      </c>
      <c r="H363" s="23">
        <v>373068</v>
      </c>
      <c r="I363" s="23">
        <v>35832</v>
      </c>
      <c r="J363" s="17"/>
    </row>
    <row r="364" spans="1:10">
      <c r="B364" s="20">
        <v>9</v>
      </c>
      <c r="C364" s="21" t="s">
        <v>303</v>
      </c>
      <c r="D364" s="21" t="s">
        <v>302</v>
      </c>
      <c r="E364" s="21" t="s">
        <v>1329</v>
      </c>
      <c r="F364" s="22">
        <v>686760.3899999999</v>
      </c>
      <c r="G364" s="22">
        <v>686760.39000000013</v>
      </c>
      <c r="J364" s="17"/>
    </row>
    <row r="365" spans="1:10">
      <c r="B365" s="20">
        <v>9</v>
      </c>
      <c r="C365" s="21" t="s">
        <v>303</v>
      </c>
      <c r="D365" s="21" t="s">
        <v>609</v>
      </c>
      <c r="E365" s="21" t="s">
        <v>1329</v>
      </c>
      <c r="F365" s="22">
        <v>9435</v>
      </c>
      <c r="G365" s="22">
        <v>9435</v>
      </c>
      <c r="J365" s="17"/>
    </row>
    <row r="366" spans="1:10">
      <c r="B366" s="20">
        <v>9</v>
      </c>
      <c r="C366" s="21" t="s">
        <v>532</v>
      </c>
      <c r="D366" s="21" t="s">
        <v>534</v>
      </c>
      <c r="E366" s="21" t="s">
        <v>1460</v>
      </c>
      <c r="F366" s="22">
        <v>98973.88</v>
      </c>
      <c r="G366" s="22">
        <v>98973.88</v>
      </c>
      <c r="H366" s="23"/>
      <c r="I366" s="23"/>
      <c r="J366" s="17"/>
    </row>
    <row r="367" spans="1:10">
      <c r="B367" s="20">
        <v>9</v>
      </c>
      <c r="C367" s="21" t="s">
        <v>532</v>
      </c>
      <c r="D367" s="21" t="s">
        <v>531</v>
      </c>
      <c r="E367" s="21" t="s">
        <v>1460</v>
      </c>
      <c r="F367" s="22">
        <v>186341.15000000005</v>
      </c>
      <c r="G367" s="22">
        <v>186341.15000000002</v>
      </c>
      <c r="J367" s="17"/>
    </row>
    <row r="368" spans="1:10">
      <c r="B368" s="20">
        <v>9</v>
      </c>
      <c r="C368" s="21" t="s">
        <v>532</v>
      </c>
      <c r="D368" s="21" t="s">
        <v>533</v>
      </c>
      <c r="E368" s="21" t="s">
        <v>1460</v>
      </c>
      <c r="F368" s="22">
        <v>998300.69000000006</v>
      </c>
      <c r="G368" s="22">
        <v>998300.68999999971</v>
      </c>
      <c r="J368" s="17"/>
    </row>
    <row r="369" spans="2:10">
      <c r="B369" s="20">
        <v>9</v>
      </c>
      <c r="C369" s="21" t="s">
        <v>532</v>
      </c>
      <c r="D369" s="21" t="s">
        <v>624</v>
      </c>
      <c r="E369" s="21" t="s">
        <v>1460</v>
      </c>
      <c r="F369" s="22">
        <v>68306.3</v>
      </c>
      <c r="G369" s="22">
        <v>68306.3</v>
      </c>
      <c r="J369" s="17"/>
    </row>
    <row r="370" spans="2:10">
      <c r="B370" s="20">
        <v>9</v>
      </c>
      <c r="C370" s="21" t="s">
        <v>532</v>
      </c>
      <c r="D370" s="21" t="s">
        <v>633</v>
      </c>
      <c r="E370" s="21" t="s">
        <v>1460</v>
      </c>
      <c r="F370" s="22">
        <v>27829.82</v>
      </c>
      <c r="G370" s="22">
        <v>27829.82</v>
      </c>
      <c r="J370" s="17"/>
    </row>
    <row r="371" spans="2:10">
      <c r="B371" s="20">
        <v>9</v>
      </c>
      <c r="C371" s="21" t="s">
        <v>532</v>
      </c>
      <c r="D371" s="21" t="s">
        <v>634</v>
      </c>
      <c r="E371" s="21" t="s">
        <v>1460</v>
      </c>
      <c r="F371" s="22">
        <v>171435.45</v>
      </c>
      <c r="G371" s="22">
        <v>171435.45</v>
      </c>
      <c r="J371" s="17"/>
    </row>
    <row r="372" spans="2:10">
      <c r="B372" s="20">
        <v>9</v>
      </c>
      <c r="C372" s="21" t="s">
        <v>532</v>
      </c>
      <c r="D372" s="21" t="s">
        <v>635</v>
      </c>
      <c r="E372" s="21" t="s">
        <v>1460</v>
      </c>
      <c r="F372" s="22">
        <v>124484.11</v>
      </c>
      <c r="G372" s="22">
        <v>124484.11</v>
      </c>
      <c r="J372" s="17"/>
    </row>
    <row r="373" spans="2:10">
      <c r="B373" s="20">
        <v>9</v>
      </c>
      <c r="C373" s="21" t="s">
        <v>620</v>
      </c>
      <c r="D373" s="21" t="s">
        <v>619</v>
      </c>
      <c r="E373" s="21" t="s">
        <v>1316</v>
      </c>
      <c r="F373" s="22">
        <v>11160</v>
      </c>
      <c r="G373" s="22">
        <v>11160</v>
      </c>
      <c r="J373" s="17"/>
    </row>
    <row r="374" spans="2:10">
      <c r="B374" s="20">
        <v>10</v>
      </c>
      <c r="C374" s="21" t="s">
        <v>64</v>
      </c>
      <c r="D374" s="21" t="s">
        <v>63</v>
      </c>
      <c r="E374" s="21" t="s">
        <v>1145</v>
      </c>
      <c r="F374" s="22">
        <v>62146.479999999981</v>
      </c>
      <c r="G374" s="22">
        <v>62146.479999999996</v>
      </c>
      <c r="J374" s="17"/>
    </row>
    <row r="375" spans="2:10">
      <c r="B375" s="20">
        <v>10</v>
      </c>
      <c r="C375" s="21" t="s">
        <v>25</v>
      </c>
      <c r="D375" s="21" t="s">
        <v>211</v>
      </c>
      <c r="E375" s="21" t="s">
        <v>1146</v>
      </c>
      <c r="F375" s="22">
        <v>1980398.5100000005</v>
      </c>
      <c r="G375" s="22">
        <v>1980435.2700000005</v>
      </c>
      <c r="J375" s="17"/>
    </row>
    <row r="376" spans="2:10">
      <c r="B376" s="20">
        <v>10</v>
      </c>
      <c r="C376" s="21" t="s">
        <v>25</v>
      </c>
      <c r="D376" s="21" t="s">
        <v>24</v>
      </c>
      <c r="E376" s="21" t="s">
        <v>1146</v>
      </c>
      <c r="F376" s="22">
        <v>19869.999999999996</v>
      </c>
      <c r="G376" s="22">
        <v>19870</v>
      </c>
      <c r="J376" s="17"/>
    </row>
    <row r="377" spans="2:10">
      <c r="B377" s="20">
        <v>10</v>
      </c>
      <c r="C377" s="21" t="s">
        <v>705</v>
      </c>
      <c r="D377" s="21" t="s">
        <v>704</v>
      </c>
      <c r="E377" s="21" t="s">
        <v>1146</v>
      </c>
      <c r="F377" s="22">
        <v>255</v>
      </c>
      <c r="G377" s="22">
        <v>255</v>
      </c>
      <c r="J377" s="17"/>
    </row>
    <row r="378" spans="2:10">
      <c r="B378" s="20">
        <v>10</v>
      </c>
      <c r="C378" s="21" t="s">
        <v>701</v>
      </c>
      <c r="D378" s="21" t="s">
        <v>700</v>
      </c>
      <c r="E378" s="21" t="s">
        <v>1146</v>
      </c>
      <c r="F378" s="22">
        <v>255</v>
      </c>
      <c r="G378" s="22">
        <v>255</v>
      </c>
      <c r="J378" s="17"/>
    </row>
    <row r="379" spans="2:10">
      <c r="B379" s="20">
        <v>10</v>
      </c>
      <c r="C379" s="21" t="s">
        <v>707</v>
      </c>
      <c r="D379" s="21" t="s">
        <v>706</v>
      </c>
      <c r="E379" s="21" t="s">
        <v>1146</v>
      </c>
      <c r="F379" s="22">
        <v>255</v>
      </c>
      <c r="G379" s="22">
        <v>255</v>
      </c>
      <c r="J379" s="17"/>
    </row>
    <row r="380" spans="2:10">
      <c r="B380" s="20">
        <v>10</v>
      </c>
      <c r="C380" s="21" t="s">
        <v>703</v>
      </c>
      <c r="D380" s="21" t="s">
        <v>702</v>
      </c>
      <c r="E380" s="21" t="s">
        <v>1236</v>
      </c>
      <c r="F380" s="22">
        <v>2294.3700000000026</v>
      </c>
      <c r="G380" s="22">
        <v>2294.37</v>
      </c>
      <c r="J380" s="17"/>
    </row>
    <row r="381" spans="2:10">
      <c r="B381" s="20">
        <v>10</v>
      </c>
      <c r="C381" s="21" t="s">
        <v>359</v>
      </c>
      <c r="D381" s="21" t="s">
        <v>358</v>
      </c>
      <c r="E381" s="21" t="s">
        <v>1237</v>
      </c>
      <c r="F381" s="22">
        <v>534576.01</v>
      </c>
      <c r="G381" s="22">
        <v>532850.80000000016</v>
      </c>
      <c r="J381" s="17"/>
    </row>
    <row r="382" spans="2:10">
      <c r="B382" s="20">
        <v>10</v>
      </c>
      <c r="C382" s="21" t="s">
        <v>62</v>
      </c>
      <c r="D382" s="21" t="s">
        <v>79</v>
      </c>
      <c r="E382" s="21" t="s">
        <v>1342</v>
      </c>
      <c r="F382" s="22">
        <v>2506581.5800000005</v>
      </c>
      <c r="G382" s="22">
        <v>2506581.5799999991</v>
      </c>
      <c r="J382" s="17"/>
    </row>
    <row r="383" spans="2:10">
      <c r="B383" s="20">
        <v>10</v>
      </c>
      <c r="C383" s="21" t="s">
        <v>62</v>
      </c>
      <c r="D383" s="21" t="s">
        <v>61</v>
      </c>
      <c r="E383" s="21" t="s">
        <v>1342</v>
      </c>
      <c r="F383" s="22">
        <v>44837.380000000005</v>
      </c>
      <c r="G383" s="22">
        <v>44837.380000000005</v>
      </c>
      <c r="J383" s="17"/>
    </row>
    <row r="384" spans="2:10">
      <c r="B384" s="20">
        <v>10</v>
      </c>
      <c r="C384" s="21" t="s">
        <v>62</v>
      </c>
      <c r="D384" s="21" t="s">
        <v>651</v>
      </c>
      <c r="E384" s="21" t="s">
        <v>1342</v>
      </c>
      <c r="F384" s="22">
        <v>106724.54999999999</v>
      </c>
      <c r="G384" s="22">
        <v>106724.55</v>
      </c>
      <c r="J384" s="17"/>
    </row>
    <row r="385" spans="2:10">
      <c r="B385" s="20">
        <v>10</v>
      </c>
      <c r="C385" s="21" t="s">
        <v>43</v>
      </c>
      <c r="D385" s="21" t="s">
        <v>65</v>
      </c>
      <c r="E385" s="21" t="s">
        <v>1346</v>
      </c>
      <c r="F385" s="22">
        <v>27751.869999999995</v>
      </c>
      <c r="G385" s="22">
        <v>27751.870000000003</v>
      </c>
      <c r="J385" s="17"/>
    </row>
    <row r="386" spans="2:10">
      <c r="B386" s="20">
        <v>10</v>
      </c>
      <c r="C386" s="21" t="s">
        <v>43</v>
      </c>
      <c r="D386" s="21" t="s">
        <v>42</v>
      </c>
      <c r="E386" s="21" t="s">
        <v>1345</v>
      </c>
      <c r="F386" s="22">
        <v>650860.85</v>
      </c>
      <c r="G386" s="22">
        <v>651096.68999999983</v>
      </c>
      <c r="J386" s="17"/>
    </row>
    <row r="387" spans="2:10">
      <c r="B387" s="20">
        <v>10</v>
      </c>
      <c r="C387" s="21" t="s">
        <v>37</v>
      </c>
      <c r="D387" s="21" t="s">
        <v>36</v>
      </c>
      <c r="E387" s="21" t="s">
        <v>1341</v>
      </c>
      <c r="F387" s="22">
        <v>37436.120000000003</v>
      </c>
      <c r="G387" s="22">
        <v>37436.120000000003</v>
      </c>
      <c r="J387" s="17"/>
    </row>
    <row r="388" spans="2:10">
      <c r="B388" s="20">
        <v>10</v>
      </c>
      <c r="C388" s="21" t="s">
        <v>37</v>
      </c>
      <c r="D388" s="21" t="s">
        <v>54</v>
      </c>
      <c r="E388" s="21" t="s">
        <v>1340</v>
      </c>
      <c r="F388" s="22">
        <v>899348.57000000007</v>
      </c>
      <c r="G388" s="22">
        <v>899348.57</v>
      </c>
      <c r="J388" s="17"/>
    </row>
    <row r="389" spans="2:10">
      <c r="B389" s="20">
        <v>10</v>
      </c>
      <c r="C389" s="21" t="s">
        <v>711</v>
      </c>
      <c r="D389" s="21" t="s">
        <v>710</v>
      </c>
      <c r="E389" s="21" t="s">
        <v>1344</v>
      </c>
      <c r="F389" s="22">
        <v>20.49</v>
      </c>
      <c r="G389" s="22">
        <v>20.49</v>
      </c>
      <c r="J389" s="17"/>
    </row>
    <row r="390" spans="2:10">
      <c r="B390" s="20">
        <v>10</v>
      </c>
      <c r="C390" s="21" t="s">
        <v>51</v>
      </c>
      <c r="D390" s="21" t="s">
        <v>50</v>
      </c>
      <c r="E390" s="21" t="s">
        <v>1344</v>
      </c>
      <c r="F390" s="22">
        <v>3742800.2800000017</v>
      </c>
      <c r="G390" s="22">
        <v>3742800.2800000003</v>
      </c>
      <c r="J390" s="17"/>
    </row>
    <row r="391" spans="2:10">
      <c r="B391" s="20">
        <v>10</v>
      </c>
      <c r="C391" s="21" t="s">
        <v>51</v>
      </c>
      <c r="D391" s="21" t="s">
        <v>323</v>
      </c>
      <c r="E391" s="21" t="s">
        <v>1344</v>
      </c>
      <c r="F391" s="22">
        <v>2110154.58</v>
      </c>
      <c r="G391" s="22">
        <v>2110154.58</v>
      </c>
      <c r="J391" s="17"/>
    </row>
    <row r="392" spans="2:10">
      <c r="B392" s="20">
        <v>10</v>
      </c>
      <c r="C392" s="21" t="s">
        <v>53</v>
      </c>
      <c r="D392" s="21" t="s">
        <v>242</v>
      </c>
      <c r="E392" s="21" t="s">
        <v>1347</v>
      </c>
      <c r="F392" s="22">
        <v>339053.99000000005</v>
      </c>
      <c r="G392" s="22">
        <v>339053.99000000005</v>
      </c>
      <c r="J392" s="17"/>
    </row>
    <row r="393" spans="2:10">
      <c r="B393" s="20">
        <v>10</v>
      </c>
      <c r="C393" s="21" t="s">
        <v>53</v>
      </c>
      <c r="D393" s="21" t="s">
        <v>52</v>
      </c>
      <c r="E393" s="21" t="s">
        <v>1347</v>
      </c>
      <c r="F393" s="22">
        <v>33287.75</v>
      </c>
      <c r="G393" s="22">
        <v>33287.750000000007</v>
      </c>
      <c r="J393" s="17"/>
    </row>
    <row r="394" spans="2:10">
      <c r="B394" s="20">
        <v>10</v>
      </c>
      <c r="C394" s="21" t="s">
        <v>19</v>
      </c>
      <c r="D394" s="21" t="s">
        <v>18</v>
      </c>
      <c r="E394" s="21" t="s">
        <v>1343</v>
      </c>
      <c r="F394" s="22">
        <v>35269.17</v>
      </c>
      <c r="G394" s="22">
        <v>35269.170000000006</v>
      </c>
      <c r="J394" s="17"/>
    </row>
    <row r="395" spans="2:10">
      <c r="B395" s="20">
        <v>10</v>
      </c>
      <c r="C395" s="21" t="s">
        <v>31</v>
      </c>
      <c r="D395" s="21" t="s">
        <v>30</v>
      </c>
      <c r="E395" s="21" t="s">
        <v>1348</v>
      </c>
      <c r="F395" s="22">
        <v>37763.199999999997</v>
      </c>
      <c r="G395" s="22">
        <v>37763.200000000004</v>
      </c>
      <c r="J395" s="17"/>
    </row>
    <row r="396" spans="2:10">
      <c r="B396" s="20">
        <v>10</v>
      </c>
      <c r="C396" s="21" t="s">
        <v>322</v>
      </c>
      <c r="D396" s="21" t="s">
        <v>321</v>
      </c>
      <c r="E396" s="21" t="s">
        <v>1413</v>
      </c>
      <c r="F396" s="22">
        <v>15305.46</v>
      </c>
      <c r="G396" s="22">
        <v>15305.46</v>
      </c>
      <c r="J396" s="17"/>
    </row>
    <row r="397" spans="2:10">
      <c r="B397" s="20">
        <v>10</v>
      </c>
      <c r="C397" s="21" t="s">
        <v>78</v>
      </c>
      <c r="D397" s="21" t="s">
        <v>77</v>
      </c>
      <c r="E397" s="21" t="s">
        <v>1409</v>
      </c>
      <c r="F397" s="22">
        <v>70873.119999999995</v>
      </c>
      <c r="G397" s="22">
        <v>70873.119999999995</v>
      </c>
      <c r="J397" s="17"/>
    </row>
    <row r="398" spans="2:10">
      <c r="B398" s="20">
        <v>10</v>
      </c>
      <c r="C398" s="21" t="s">
        <v>229</v>
      </c>
      <c r="D398" s="21" t="s">
        <v>228</v>
      </c>
      <c r="E398" s="21" t="s">
        <v>1411</v>
      </c>
      <c r="F398" s="22">
        <v>162720.99000000002</v>
      </c>
      <c r="G398" s="22">
        <v>162720.99</v>
      </c>
      <c r="J398" s="17"/>
    </row>
    <row r="399" spans="2:10">
      <c r="B399" s="20">
        <v>10</v>
      </c>
      <c r="C399" s="21" t="s">
        <v>320</v>
      </c>
      <c r="D399" s="21" t="s">
        <v>319</v>
      </c>
      <c r="E399" s="21" t="s">
        <v>1410</v>
      </c>
      <c r="F399" s="22">
        <v>42162.78</v>
      </c>
      <c r="G399" s="22">
        <v>42162.78</v>
      </c>
      <c r="J399" s="17"/>
    </row>
    <row r="400" spans="2:10">
      <c r="B400" s="20">
        <v>10</v>
      </c>
      <c r="C400" s="21" t="s">
        <v>316</v>
      </c>
      <c r="D400" s="21" t="s">
        <v>315</v>
      </c>
      <c r="E400" s="21" t="s">
        <v>1410</v>
      </c>
      <c r="F400" s="22">
        <v>31354.28</v>
      </c>
      <c r="G400" s="22">
        <v>31354.28</v>
      </c>
      <c r="J400" s="17"/>
    </row>
    <row r="401" spans="2:10">
      <c r="B401" s="20">
        <v>10</v>
      </c>
      <c r="C401" s="21" t="s">
        <v>67</v>
      </c>
      <c r="D401" s="21" t="s">
        <v>66</v>
      </c>
      <c r="E401" s="21" t="s">
        <v>1408</v>
      </c>
      <c r="F401" s="22">
        <v>34920.699999999997</v>
      </c>
      <c r="G401" s="22">
        <v>34920.699999999997</v>
      </c>
      <c r="J401" s="17"/>
    </row>
    <row r="402" spans="2:10">
      <c r="B402" s="20">
        <v>10</v>
      </c>
      <c r="C402" s="21" t="s">
        <v>33</v>
      </c>
      <c r="D402" s="21" t="s">
        <v>32</v>
      </c>
      <c r="E402" s="21" t="s">
        <v>1403</v>
      </c>
      <c r="F402" s="22">
        <v>67344.850000000006</v>
      </c>
      <c r="G402" s="22">
        <v>67344.850000000006</v>
      </c>
      <c r="J402" s="17"/>
    </row>
    <row r="403" spans="2:10">
      <c r="B403" s="20">
        <v>10</v>
      </c>
      <c r="C403" s="21" t="s">
        <v>72</v>
      </c>
      <c r="D403" s="21" t="s">
        <v>71</v>
      </c>
      <c r="E403" s="21" t="s">
        <v>1401</v>
      </c>
      <c r="F403" s="22">
        <v>40048.370000000003</v>
      </c>
      <c r="G403" s="22">
        <v>40048.370000000003</v>
      </c>
      <c r="J403" s="17"/>
    </row>
    <row r="404" spans="2:10">
      <c r="B404" s="20">
        <v>10</v>
      </c>
      <c r="C404" s="21" t="s">
        <v>336</v>
      </c>
      <c r="D404" s="21" t="s">
        <v>335</v>
      </c>
      <c r="E404" s="21" t="s">
        <v>1404</v>
      </c>
      <c r="F404" s="22">
        <v>775920.48999999976</v>
      </c>
      <c r="G404" s="22">
        <v>775920.49</v>
      </c>
      <c r="J404" s="17"/>
    </row>
    <row r="405" spans="2:10">
      <c r="B405" s="20">
        <v>10</v>
      </c>
      <c r="C405" s="21" t="s">
        <v>76</v>
      </c>
      <c r="D405" s="21" t="s">
        <v>75</v>
      </c>
      <c r="E405" s="21" t="s">
        <v>1412</v>
      </c>
      <c r="F405" s="22">
        <v>41531.300000000003</v>
      </c>
      <c r="G405" s="22">
        <v>41531.300000000003</v>
      </c>
      <c r="J405" s="17"/>
    </row>
    <row r="406" spans="2:10">
      <c r="B406" s="20">
        <v>10</v>
      </c>
      <c r="C406" s="21" t="s">
        <v>39</v>
      </c>
      <c r="D406" s="21" t="s">
        <v>38</v>
      </c>
      <c r="E406" s="21" t="s">
        <v>1414</v>
      </c>
      <c r="F406" s="22">
        <v>48048.47</v>
      </c>
      <c r="G406" s="22">
        <v>47507.78</v>
      </c>
      <c r="J406" s="17"/>
    </row>
    <row r="407" spans="2:10">
      <c r="B407" s="20">
        <v>10</v>
      </c>
      <c r="C407" s="21" t="s">
        <v>69</v>
      </c>
      <c r="D407" s="21" t="s">
        <v>68</v>
      </c>
      <c r="E407" s="21" t="s">
        <v>1407</v>
      </c>
      <c r="F407" s="22">
        <v>32401.300000000003</v>
      </c>
      <c r="G407" s="22">
        <v>32401.3</v>
      </c>
      <c r="J407" s="17"/>
    </row>
    <row r="408" spans="2:10">
      <c r="B408" s="20">
        <v>10</v>
      </c>
      <c r="C408" s="21" t="s">
        <v>69</v>
      </c>
      <c r="D408" s="21" t="s">
        <v>311</v>
      </c>
      <c r="E408" s="21" t="s">
        <v>1407</v>
      </c>
      <c r="F408" s="22">
        <v>76986</v>
      </c>
      <c r="G408" s="22">
        <v>76986</v>
      </c>
      <c r="J408" s="17"/>
    </row>
    <row r="409" spans="2:10">
      <c r="B409" s="20">
        <v>10</v>
      </c>
      <c r="C409" s="21" t="s">
        <v>69</v>
      </c>
      <c r="D409" s="21" t="s">
        <v>289</v>
      </c>
      <c r="E409" s="21" t="s">
        <v>1407</v>
      </c>
      <c r="F409" s="22">
        <v>119449.45</v>
      </c>
      <c r="G409" s="22">
        <v>119449.45</v>
      </c>
      <c r="J409" s="17"/>
    </row>
    <row r="410" spans="2:10">
      <c r="B410" s="20">
        <v>10</v>
      </c>
      <c r="C410" s="21" t="s">
        <v>111</v>
      </c>
      <c r="D410" s="21" t="s">
        <v>110</v>
      </c>
      <c r="E410" s="21" t="s">
        <v>1405</v>
      </c>
      <c r="F410" s="22">
        <v>436903.00999999995</v>
      </c>
      <c r="G410" s="22">
        <v>423198.8600000001</v>
      </c>
      <c r="J410" s="17"/>
    </row>
    <row r="411" spans="2:10">
      <c r="B411" s="20">
        <v>10</v>
      </c>
      <c r="C411" s="21" t="s">
        <v>111</v>
      </c>
      <c r="D411" s="21" t="s">
        <v>331</v>
      </c>
      <c r="E411" s="21" t="s">
        <v>1406</v>
      </c>
      <c r="F411" s="22">
        <v>42894.030000000006</v>
      </c>
      <c r="G411" s="22">
        <v>42894.030000000006</v>
      </c>
      <c r="J411" s="17"/>
    </row>
    <row r="412" spans="2:10">
      <c r="B412" s="20">
        <v>10</v>
      </c>
      <c r="C412" s="21" t="s">
        <v>131</v>
      </c>
      <c r="D412" s="21" t="s">
        <v>227</v>
      </c>
      <c r="E412" s="21" t="s">
        <v>1402</v>
      </c>
      <c r="F412" s="22">
        <v>227187</v>
      </c>
      <c r="G412" s="22">
        <v>227187</v>
      </c>
      <c r="J412" s="17"/>
    </row>
    <row r="413" spans="2:10">
      <c r="B413" s="20">
        <v>10</v>
      </c>
      <c r="C413" s="21" t="s">
        <v>131</v>
      </c>
      <c r="D413" s="21" t="s">
        <v>130</v>
      </c>
      <c r="E413" s="21" t="s">
        <v>1402</v>
      </c>
      <c r="F413" s="22">
        <v>336867</v>
      </c>
      <c r="G413" s="22">
        <v>336867.00000000006</v>
      </c>
      <c r="J413" s="17"/>
    </row>
    <row r="414" spans="2:10">
      <c r="B414" s="20">
        <v>10</v>
      </c>
      <c r="C414" s="21" t="s">
        <v>131</v>
      </c>
      <c r="D414" s="21" t="s">
        <v>330</v>
      </c>
      <c r="E414" s="21" t="s">
        <v>1402</v>
      </c>
      <c r="F414" s="22">
        <v>52713.919999999998</v>
      </c>
      <c r="G414" s="22">
        <v>52713.919999999998</v>
      </c>
      <c r="J414" s="17"/>
    </row>
    <row r="415" spans="2:10">
      <c r="B415" s="20">
        <v>11</v>
      </c>
      <c r="C415" s="21" t="s">
        <v>597</v>
      </c>
      <c r="D415" s="21" t="s">
        <v>596</v>
      </c>
      <c r="E415" s="21" t="s">
        <v>1203</v>
      </c>
      <c r="F415" s="22">
        <v>26383.000000000004</v>
      </c>
      <c r="G415" s="22">
        <v>26383</v>
      </c>
      <c r="J415" s="17"/>
    </row>
    <row r="416" spans="2:10">
      <c r="B416" s="20">
        <v>11</v>
      </c>
      <c r="C416" s="21" t="s">
        <v>121</v>
      </c>
      <c r="D416" s="21" t="s">
        <v>301</v>
      </c>
      <c r="E416" s="21" t="s">
        <v>1200</v>
      </c>
      <c r="F416" s="22">
        <v>9883270.7299999967</v>
      </c>
      <c r="G416" s="22">
        <v>9977720.9499999937</v>
      </c>
      <c r="J416" s="17"/>
    </row>
    <row r="417" spans="2:10">
      <c r="B417" s="20">
        <v>11</v>
      </c>
      <c r="C417" s="21" t="s">
        <v>121</v>
      </c>
      <c r="D417" s="21" t="s">
        <v>120</v>
      </c>
      <c r="E417" s="21" t="s">
        <v>1200</v>
      </c>
      <c r="F417" s="22">
        <v>2304302.2099999948</v>
      </c>
      <c r="G417" s="22">
        <v>2151241.2299999991</v>
      </c>
      <c r="J417" s="17"/>
    </row>
    <row r="418" spans="2:10">
      <c r="B418" s="20">
        <v>11</v>
      </c>
      <c r="C418" s="21" t="s">
        <v>650</v>
      </c>
      <c r="D418" s="21" t="s">
        <v>649</v>
      </c>
      <c r="E418" s="21" t="s">
        <v>1200</v>
      </c>
      <c r="F418" s="22">
        <v>1248108.3900000004</v>
      </c>
      <c r="G418" s="22">
        <v>1248108.3900000001</v>
      </c>
      <c r="J418" s="17"/>
    </row>
    <row r="419" spans="2:10">
      <c r="B419" s="20">
        <v>11</v>
      </c>
      <c r="C419" s="21" t="s">
        <v>583</v>
      </c>
      <c r="D419" s="21" t="s">
        <v>582</v>
      </c>
      <c r="E419" s="21" t="s">
        <v>1205</v>
      </c>
      <c r="F419" s="22">
        <v>109605</v>
      </c>
      <c r="G419" s="22">
        <v>71680</v>
      </c>
      <c r="J419" s="17"/>
    </row>
    <row r="420" spans="2:10">
      <c r="B420" s="20">
        <v>11</v>
      </c>
      <c r="C420" s="21" t="s">
        <v>565</v>
      </c>
      <c r="D420" s="21" t="s">
        <v>564</v>
      </c>
      <c r="E420" s="21" t="s">
        <v>1199</v>
      </c>
      <c r="F420" s="22">
        <v>102925</v>
      </c>
      <c r="G420" s="22">
        <v>3375</v>
      </c>
      <c r="J420" s="17"/>
    </row>
    <row r="421" spans="2:10">
      <c r="B421" s="20">
        <v>11</v>
      </c>
      <c r="C421" s="21" t="s">
        <v>543</v>
      </c>
      <c r="D421" s="21" t="s">
        <v>542</v>
      </c>
      <c r="E421" s="21" t="s">
        <v>1197</v>
      </c>
      <c r="F421" s="22">
        <v>19531</v>
      </c>
      <c r="G421" s="22">
        <v>450</v>
      </c>
      <c r="J421" s="17"/>
    </row>
    <row r="422" spans="2:10">
      <c r="B422" s="20">
        <v>11</v>
      </c>
      <c r="C422" s="21" t="s">
        <v>604</v>
      </c>
      <c r="D422" s="21" t="s">
        <v>603</v>
      </c>
      <c r="E422" s="21" t="s">
        <v>1208</v>
      </c>
      <c r="F422" s="22">
        <v>26888</v>
      </c>
      <c r="G422" s="22">
        <v>26888</v>
      </c>
      <c r="J422" s="17"/>
    </row>
    <row r="423" spans="2:10">
      <c r="B423" s="20">
        <v>11</v>
      </c>
      <c r="C423" s="21" t="s">
        <v>587</v>
      </c>
      <c r="D423" s="21" t="s">
        <v>586</v>
      </c>
      <c r="E423" s="21" t="s">
        <v>1206</v>
      </c>
      <c r="F423" s="22">
        <v>27739</v>
      </c>
      <c r="G423" s="22">
        <v>27739</v>
      </c>
      <c r="J423" s="17"/>
    </row>
    <row r="424" spans="2:10">
      <c r="B424" s="20">
        <v>11</v>
      </c>
      <c r="C424" s="21" t="s">
        <v>164</v>
      </c>
      <c r="D424" s="21" t="s">
        <v>163</v>
      </c>
      <c r="E424" s="21" t="s">
        <v>1204</v>
      </c>
      <c r="F424" s="22">
        <v>859835</v>
      </c>
      <c r="G424" s="22">
        <v>859835</v>
      </c>
      <c r="J424" s="17"/>
    </row>
    <row r="425" spans="2:10">
      <c r="B425" s="20">
        <v>11</v>
      </c>
      <c r="C425" s="21" t="s">
        <v>631</v>
      </c>
      <c r="D425" s="21" t="s">
        <v>652</v>
      </c>
      <c r="E425" s="21" t="s">
        <v>1202</v>
      </c>
      <c r="F425" s="22">
        <v>199718.58</v>
      </c>
      <c r="G425" s="22">
        <v>199718.57999999996</v>
      </c>
      <c r="J425" s="17"/>
    </row>
    <row r="426" spans="2:10">
      <c r="B426" s="20">
        <v>11</v>
      </c>
      <c r="C426" s="21" t="s">
        <v>623</v>
      </c>
      <c r="D426" s="21" t="s">
        <v>622</v>
      </c>
      <c r="E426" s="21" t="s">
        <v>1209</v>
      </c>
      <c r="F426" s="22">
        <v>44040</v>
      </c>
      <c r="G426" s="22">
        <v>44040</v>
      </c>
      <c r="J426" s="17"/>
    </row>
    <row r="427" spans="2:10">
      <c r="B427" s="20">
        <v>11</v>
      </c>
      <c r="C427" s="21" t="s">
        <v>589</v>
      </c>
      <c r="D427" s="21" t="s">
        <v>588</v>
      </c>
      <c r="E427" s="21" t="s">
        <v>1198</v>
      </c>
      <c r="F427" s="22">
        <v>74212</v>
      </c>
      <c r="G427" s="22">
        <v>2250</v>
      </c>
      <c r="J427" s="17"/>
    </row>
    <row r="428" spans="2:10">
      <c r="B428" s="20">
        <v>11</v>
      </c>
      <c r="C428" s="21" t="s">
        <v>615</v>
      </c>
      <c r="D428" s="21" t="s">
        <v>614</v>
      </c>
      <c r="E428" s="21" t="s">
        <v>1210</v>
      </c>
      <c r="F428" s="22">
        <v>47400</v>
      </c>
      <c r="G428" s="22">
        <v>47400</v>
      </c>
      <c r="J428" s="17"/>
    </row>
    <row r="429" spans="2:10">
      <c r="B429" s="20">
        <v>11</v>
      </c>
      <c r="C429" s="21" t="s">
        <v>559</v>
      </c>
      <c r="D429" s="21" t="s">
        <v>558</v>
      </c>
      <c r="E429" s="21" t="s">
        <v>1214</v>
      </c>
      <c r="F429" s="22">
        <v>44030</v>
      </c>
      <c r="G429" s="24"/>
      <c r="J429" s="17"/>
    </row>
    <row r="430" spans="2:10">
      <c r="B430" s="20">
        <v>11</v>
      </c>
      <c r="C430" s="21" t="s">
        <v>611</v>
      </c>
      <c r="D430" s="21" t="s">
        <v>610</v>
      </c>
      <c r="E430" s="21" t="s">
        <v>1201</v>
      </c>
      <c r="F430" s="22">
        <v>39614</v>
      </c>
      <c r="G430" s="22">
        <v>39614</v>
      </c>
      <c r="J430" s="17"/>
    </row>
    <row r="431" spans="2:10">
      <c r="B431" s="20">
        <v>11</v>
      </c>
      <c r="C431" s="21" t="s">
        <v>581</v>
      </c>
      <c r="D431" s="21" t="s">
        <v>580</v>
      </c>
      <c r="E431" s="21" t="s">
        <v>1211</v>
      </c>
      <c r="F431" s="22">
        <v>30574</v>
      </c>
      <c r="G431" s="22">
        <v>30574</v>
      </c>
      <c r="J431" s="17"/>
    </row>
    <row r="432" spans="2:10">
      <c r="B432" s="20">
        <v>11</v>
      </c>
      <c r="C432" s="21" t="s">
        <v>579</v>
      </c>
      <c r="D432" s="21" t="s">
        <v>578</v>
      </c>
      <c r="E432" s="21" t="s">
        <v>1207</v>
      </c>
      <c r="F432" s="22">
        <v>26888</v>
      </c>
      <c r="G432" s="22">
        <v>26888</v>
      </c>
      <c r="J432" s="17"/>
    </row>
    <row r="433" spans="2:10">
      <c r="B433" s="20">
        <v>11</v>
      </c>
      <c r="C433" s="21" t="s">
        <v>595</v>
      </c>
      <c r="D433" s="21" t="s">
        <v>594</v>
      </c>
      <c r="E433" s="21" t="s">
        <v>1212</v>
      </c>
      <c r="F433" s="22">
        <v>28022</v>
      </c>
      <c r="G433" s="22">
        <v>28022</v>
      </c>
      <c r="J433" s="17"/>
    </row>
    <row r="434" spans="2:10">
      <c r="B434" s="20">
        <v>11</v>
      </c>
      <c r="C434" s="21" t="s">
        <v>593</v>
      </c>
      <c r="D434" s="21" t="s">
        <v>592</v>
      </c>
      <c r="E434" s="21" t="s">
        <v>1213</v>
      </c>
      <c r="F434" s="22">
        <v>17500</v>
      </c>
      <c r="G434" s="22">
        <v>15000</v>
      </c>
      <c r="J434" s="17"/>
    </row>
    <row r="435" spans="2:10">
      <c r="B435" s="20">
        <v>11</v>
      </c>
      <c r="C435" s="21" t="s">
        <v>1465</v>
      </c>
      <c r="D435" s="21" t="s">
        <v>1466</v>
      </c>
      <c r="E435" s="21" t="s">
        <v>1467</v>
      </c>
      <c r="F435" s="22">
        <v>97000</v>
      </c>
      <c r="G435" s="22">
        <v>92100</v>
      </c>
      <c r="J435" s="17"/>
    </row>
    <row r="436" spans="2:10">
      <c r="B436" s="20">
        <v>11</v>
      </c>
      <c r="C436" s="21" t="s">
        <v>486</v>
      </c>
      <c r="D436" s="21" t="s">
        <v>485</v>
      </c>
      <c r="E436" s="21" t="s">
        <v>1271</v>
      </c>
      <c r="F436" s="22">
        <v>2484051.8200000003</v>
      </c>
      <c r="G436" s="22">
        <v>2448503.48</v>
      </c>
      <c r="J436" s="17"/>
    </row>
    <row r="437" spans="2:10">
      <c r="B437" s="20">
        <v>11</v>
      </c>
      <c r="C437" s="21" t="s">
        <v>585</v>
      </c>
      <c r="D437" s="21" t="s">
        <v>584</v>
      </c>
      <c r="E437" s="21" t="s">
        <v>1270</v>
      </c>
      <c r="F437" s="22">
        <v>48292</v>
      </c>
      <c r="G437" s="22">
        <v>48292</v>
      </c>
      <c r="J437" s="17"/>
    </row>
    <row r="438" spans="2:10">
      <c r="B438" s="20">
        <v>11</v>
      </c>
      <c r="C438" s="21" t="s">
        <v>1462</v>
      </c>
      <c r="D438" s="21" t="s">
        <v>1463</v>
      </c>
      <c r="E438" s="21" t="s">
        <v>1464</v>
      </c>
      <c r="F438" s="22">
        <v>56000</v>
      </c>
      <c r="G438" s="22">
        <v>35950</v>
      </c>
      <c r="J438" s="17"/>
    </row>
    <row r="439" spans="2:10">
      <c r="B439" s="20">
        <v>11</v>
      </c>
      <c r="C439" s="21" t="s">
        <v>379</v>
      </c>
      <c r="D439" s="21" t="s">
        <v>378</v>
      </c>
      <c r="E439" s="21" t="s">
        <v>1272</v>
      </c>
      <c r="F439" s="22">
        <v>799841</v>
      </c>
      <c r="G439" s="22">
        <v>799841</v>
      </c>
      <c r="J439" s="17"/>
    </row>
    <row r="440" spans="2:10">
      <c r="B440" s="20">
        <v>11</v>
      </c>
      <c r="C440" s="21" t="s">
        <v>567</v>
      </c>
      <c r="D440" s="21" t="s">
        <v>566</v>
      </c>
      <c r="E440" s="21" t="s">
        <v>1273</v>
      </c>
      <c r="F440" s="22">
        <v>17550</v>
      </c>
      <c r="G440" s="22">
        <v>17550</v>
      </c>
      <c r="J440" s="17"/>
    </row>
    <row r="441" spans="2:10">
      <c r="B441" s="20">
        <v>11</v>
      </c>
      <c r="C441" s="21" t="s">
        <v>569</v>
      </c>
      <c r="D441" s="21" t="s">
        <v>568</v>
      </c>
      <c r="E441" s="21" t="s">
        <v>1269</v>
      </c>
      <c r="F441" s="22">
        <v>26155</v>
      </c>
      <c r="G441" s="22">
        <v>26155</v>
      </c>
      <c r="J441" s="17"/>
    </row>
    <row r="442" spans="2:10">
      <c r="B442" s="20">
        <v>11</v>
      </c>
      <c r="C442" s="21" t="s">
        <v>548</v>
      </c>
      <c r="D442" s="21" t="s">
        <v>547</v>
      </c>
      <c r="E442" s="21" t="s">
        <v>1395</v>
      </c>
      <c r="F442" s="22">
        <v>36660</v>
      </c>
      <c r="G442" s="22">
        <v>36660</v>
      </c>
      <c r="J442" s="17"/>
    </row>
    <row r="443" spans="2:10">
      <c r="B443" s="20">
        <v>11</v>
      </c>
      <c r="C443" s="21" t="s">
        <v>608</v>
      </c>
      <c r="D443" s="21" t="s">
        <v>607</v>
      </c>
      <c r="E443" s="21" t="s">
        <v>1396</v>
      </c>
      <c r="F443" s="22">
        <v>92080</v>
      </c>
      <c r="G443" s="22">
        <v>2250</v>
      </c>
      <c r="J443" s="17"/>
    </row>
    <row r="444" spans="2:10">
      <c r="B444" s="15" t="s">
        <v>1473</v>
      </c>
      <c r="C444" s="15" t="s">
        <v>1479</v>
      </c>
      <c r="D444" s="15" t="s">
        <v>1479</v>
      </c>
      <c r="E444" s="16" t="s">
        <v>1479</v>
      </c>
      <c r="F444" s="16">
        <f>SUM(F2:F443)</f>
        <v>200724642.97000006</v>
      </c>
      <c r="G444" s="16">
        <f>SUM(G2:G443)</f>
        <v>188693580.40000007</v>
      </c>
    </row>
  </sheetData>
  <autoFilter ref="B6:J444"/>
  <printOptions gridLines="1"/>
  <pageMargins left="0.45" right="0.45" top="0.5" bottom="0.5" header="0.3" footer="0.3"/>
  <pageSetup scale="72" orientation="portrait" r:id="rId1"/>
  <headerFooter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4:I448"/>
  <sheetViews>
    <sheetView view="pageBreakPreview" zoomScale="90" zoomScaleNormal="100" zoomScaleSheetLayoutView="90" workbookViewId="0">
      <pane ySplit="6" topLeftCell="A7" activePane="bottomLeft" state="frozen"/>
      <selection activeCell="B1" sqref="B1"/>
      <selection pane="bottomLeft" activeCell="B448" sqref="B448:F448"/>
    </sheetView>
  </sheetViews>
  <sheetFormatPr defaultRowHeight="15"/>
  <cols>
    <col min="1" max="1" width="20.42578125" hidden="1" customWidth="1"/>
    <col min="2" max="2" width="10.7109375" customWidth="1"/>
    <col min="3" max="3" width="12.140625" bestFit="1" customWidth="1"/>
    <col min="4" max="4" width="62.5703125" customWidth="1"/>
    <col min="5" max="6" width="17.7109375" style="5" customWidth="1"/>
    <col min="7" max="8" width="16.85546875" hidden="1" customWidth="1"/>
    <col min="9" max="9" width="15.7109375" customWidth="1"/>
  </cols>
  <sheetData>
    <row r="4" spans="1:9" ht="9" customHeight="1"/>
    <row r="5" spans="1:9" ht="9" customHeight="1" thickBot="1"/>
    <row r="6" spans="1:9" ht="30">
      <c r="A6" s="3" t="s">
        <v>1421</v>
      </c>
      <c r="B6" s="3" t="s">
        <v>1429</v>
      </c>
      <c r="C6" s="3" t="s">
        <v>1430</v>
      </c>
      <c r="D6" s="3" t="s">
        <v>1420</v>
      </c>
      <c r="E6" s="6" t="s">
        <v>1474</v>
      </c>
      <c r="F6" s="6" t="s">
        <v>1475</v>
      </c>
      <c r="G6" s="3" t="s">
        <v>1431</v>
      </c>
      <c r="H6" s="3" t="s">
        <v>1432</v>
      </c>
    </row>
    <row r="7" spans="1:9">
      <c r="A7" t="s">
        <v>712</v>
      </c>
      <c r="B7" t="s">
        <v>402</v>
      </c>
      <c r="C7" s="1" t="s">
        <v>401</v>
      </c>
      <c r="D7" t="s">
        <v>1433</v>
      </c>
      <c r="E7" s="5">
        <v>86165.2</v>
      </c>
      <c r="F7" s="5">
        <v>86165.2</v>
      </c>
      <c r="G7" s="2">
        <v>62146.479999999996</v>
      </c>
      <c r="H7" s="2">
        <v>62146.479999999996</v>
      </c>
      <c r="I7" s="10"/>
    </row>
    <row r="8" spans="1:9">
      <c r="A8" t="s">
        <v>713</v>
      </c>
      <c r="B8" t="s">
        <v>354</v>
      </c>
      <c r="C8" s="1" t="s">
        <v>353</v>
      </c>
      <c r="D8" t="s">
        <v>1433</v>
      </c>
      <c r="E8" s="5">
        <v>56113.199999999983</v>
      </c>
      <c r="F8" s="5">
        <v>56113.2</v>
      </c>
      <c r="G8" s="2">
        <v>1798910.8299999998</v>
      </c>
      <c r="H8" s="2">
        <v>418200.85</v>
      </c>
      <c r="I8" s="10"/>
    </row>
    <row r="9" spans="1:9">
      <c r="A9" t="s">
        <v>714</v>
      </c>
      <c r="B9" t="s">
        <v>420</v>
      </c>
      <c r="C9" s="1" t="s">
        <v>419</v>
      </c>
      <c r="D9" t="s">
        <v>1433</v>
      </c>
      <c r="E9" s="5">
        <v>39654.55999999999</v>
      </c>
      <c r="F9" s="5">
        <v>39654.559999999998</v>
      </c>
      <c r="G9" s="2">
        <v>19869.999999999993</v>
      </c>
      <c r="H9" s="2">
        <v>19870</v>
      </c>
      <c r="I9" s="10"/>
    </row>
    <row r="10" spans="1:9">
      <c r="A10" t="s">
        <v>715</v>
      </c>
      <c r="B10" t="s">
        <v>417</v>
      </c>
      <c r="C10" s="1" t="s">
        <v>416</v>
      </c>
      <c r="D10" t="s">
        <v>1433</v>
      </c>
      <c r="E10" s="5">
        <v>38077.800000000003</v>
      </c>
      <c r="F10" s="5">
        <v>38077.800000000003</v>
      </c>
      <c r="G10" s="2">
        <v>255</v>
      </c>
      <c r="H10" s="2">
        <v>255</v>
      </c>
      <c r="I10" s="10"/>
    </row>
    <row r="11" spans="1:9">
      <c r="A11" t="s">
        <v>716</v>
      </c>
      <c r="B11" t="s">
        <v>377</v>
      </c>
      <c r="C11" s="1" t="s">
        <v>376</v>
      </c>
      <c r="D11" t="s">
        <v>1433</v>
      </c>
      <c r="E11" s="5">
        <v>34572.270000000004</v>
      </c>
      <c r="F11" s="5">
        <v>34572.270000000004</v>
      </c>
      <c r="G11" s="2">
        <v>255</v>
      </c>
      <c r="H11" s="2">
        <v>255</v>
      </c>
      <c r="I11" s="10"/>
    </row>
    <row r="12" spans="1:9">
      <c r="A12" t="s">
        <v>717</v>
      </c>
      <c r="B12" t="s">
        <v>451</v>
      </c>
      <c r="C12" s="1" t="s">
        <v>450</v>
      </c>
      <c r="D12" t="s">
        <v>1433</v>
      </c>
      <c r="E12" s="5">
        <v>55637.630000000012</v>
      </c>
      <c r="F12" s="5">
        <v>55637.63</v>
      </c>
      <c r="G12" s="2">
        <v>255</v>
      </c>
      <c r="H12" s="2">
        <v>255</v>
      </c>
      <c r="I12" s="10"/>
    </row>
    <row r="13" spans="1:9">
      <c r="A13" t="s">
        <v>719</v>
      </c>
      <c r="B13" t="s">
        <v>258</v>
      </c>
      <c r="C13" s="1" t="s">
        <v>1470</v>
      </c>
      <c r="D13" t="s">
        <v>1433</v>
      </c>
      <c r="E13" s="5">
        <v>53579.009999999987</v>
      </c>
      <c r="F13" s="5">
        <v>53579.01</v>
      </c>
      <c r="G13" s="2">
        <v>59759</v>
      </c>
      <c r="H13" s="2">
        <v>19842.7</v>
      </c>
      <c r="I13" s="10"/>
    </row>
    <row r="14" spans="1:9">
      <c r="A14" t="s">
        <v>720</v>
      </c>
      <c r="B14" t="s">
        <v>356</v>
      </c>
      <c r="C14" s="1" t="s">
        <v>355</v>
      </c>
      <c r="D14" t="s">
        <v>1433</v>
      </c>
      <c r="E14" s="5">
        <v>50814.039999999994</v>
      </c>
      <c r="F14" s="5">
        <v>50814.04</v>
      </c>
      <c r="G14" s="2">
        <v>459173.65</v>
      </c>
      <c r="H14" s="2">
        <v>22832.240000000002</v>
      </c>
      <c r="I14" s="10"/>
    </row>
    <row r="15" spans="1:9">
      <c r="A15" t="s">
        <v>721</v>
      </c>
      <c r="B15" t="s">
        <v>375</v>
      </c>
      <c r="C15" s="1" t="s">
        <v>374</v>
      </c>
      <c r="D15" t="s">
        <v>1433</v>
      </c>
      <c r="E15" s="5">
        <v>83788.399999999994</v>
      </c>
      <c r="F15" s="5">
        <v>83788.399999999994</v>
      </c>
      <c r="G15" s="2">
        <v>57893.07</v>
      </c>
      <c r="H15" s="2">
        <v>41255.42</v>
      </c>
      <c r="I15" s="10"/>
    </row>
    <row r="16" spans="1:9">
      <c r="A16" t="s">
        <v>722</v>
      </c>
      <c r="B16" t="s">
        <v>64</v>
      </c>
      <c r="C16" s="1" t="s">
        <v>63</v>
      </c>
      <c r="D16" t="s">
        <v>1145</v>
      </c>
      <c r="E16" s="5">
        <v>62146.479999999981</v>
      </c>
      <c r="F16" s="5">
        <v>62146.479999999996</v>
      </c>
      <c r="G16" s="2">
        <v>836746.37</v>
      </c>
      <c r="H16" s="2">
        <v>54869.3</v>
      </c>
      <c r="I16" s="10"/>
    </row>
    <row r="17" spans="1:9">
      <c r="A17" t="s">
        <v>723</v>
      </c>
      <c r="B17" t="s">
        <v>25</v>
      </c>
      <c r="C17" s="1" t="s">
        <v>211</v>
      </c>
      <c r="D17" t="s">
        <v>1146</v>
      </c>
      <c r="E17" s="5">
        <v>1977327.1800000004</v>
      </c>
      <c r="F17" s="5">
        <v>1976946.3599999999</v>
      </c>
      <c r="G17" s="2">
        <v>81695</v>
      </c>
      <c r="H17" s="2">
        <v>40575.39</v>
      </c>
      <c r="I17" s="10"/>
    </row>
    <row r="18" spans="1:9">
      <c r="A18" t="s">
        <v>724</v>
      </c>
      <c r="B18" t="s">
        <v>25</v>
      </c>
      <c r="C18" s="1" t="s">
        <v>24</v>
      </c>
      <c r="D18" t="s">
        <v>1146</v>
      </c>
      <c r="E18" s="5">
        <v>19869.999999999996</v>
      </c>
      <c r="F18" s="5">
        <v>19870</v>
      </c>
      <c r="G18" s="2">
        <v>1045346.1500000001</v>
      </c>
      <c r="H18" s="2">
        <v>1031978.16</v>
      </c>
      <c r="I18" s="10"/>
    </row>
    <row r="19" spans="1:9">
      <c r="A19" t="s">
        <v>725</v>
      </c>
      <c r="B19" t="s">
        <v>705</v>
      </c>
      <c r="C19" s="1" t="s">
        <v>704</v>
      </c>
      <c r="D19" t="s">
        <v>1146</v>
      </c>
      <c r="E19" s="5">
        <v>255</v>
      </c>
      <c r="F19" s="5">
        <v>255</v>
      </c>
      <c r="G19" s="2">
        <v>573931.85</v>
      </c>
      <c r="H19" s="2">
        <v>204619.86000000002</v>
      </c>
      <c r="I19" s="10"/>
    </row>
    <row r="20" spans="1:9">
      <c r="A20" t="s">
        <v>726</v>
      </c>
      <c r="B20" t="s">
        <v>701</v>
      </c>
      <c r="C20" s="1" t="s">
        <v>700</v>
      </c>
      <c r="D20" t="s">
        <v>1146</v>
      </c>
      <c r="E20" s="5">
        <v>255</v>
      </c>
      <c r="F20" s="5">
        <v>255</v>
      </c>
      <c r="G20" s="2">
        <v>1213342.5</v>
      </c>
      <c r="H20" s="2">
        <v>1213342.5</v>
      </c>
      <c r="I20" s="10"/>
    </row>
    <row r="21" spans="1:9">
      <c r="A21" t="s">
        <v>727</v>
      </c>
      <c r="B21" t="s">
        <v>707</v>
      </c>
      <c r="C21" s="1" t="s">
        <v>706</v>
      </c>
      <c r="D21" t="s">
        <v>1146</v>
      </c>
      <c r="E21" s="5">
        <v>255</v>
      </c>
      <c r="F21" s="5">
        <v>255</v>
      </c>
      <c r="G21" s="2">
        <v>634977.99999999977</v>
      </c>
      <c r="H21" s="2">
        <v>71898.999999999971</v>
      </c>
      <c r="I21" s="10"/>
    </row>
    <row r="22" spans="1:9">
      <c r="A22" t="s">
        <v>728</v>
      </c>
      <c r="B22" t="s">
        <v>469</v>
      </c>
      <c r="C22" s="1" t="s">
        <v>468</v>
      </c>
      <c r="D22" t="s">
        <v>1147</v>
      </c>
      <c r="E22" s="5">
        <v>543669.83000000007</v>
      </c>
      <c r="F22" s="5">
        <v>543669.83000000007</v>
      </c>
      <c r="G22" s="2">
        <v>1624485.0000000002</v>
      </c>
      <c r="H22" s="2">
        <v>35906</v>
      </c>
      <c r="I22" s="10"/>
    </row>
    <row r="23" spans="1:9">
      <c r="A23" t="s">
        <v>729</v>
      </c>
      <c r="B23" t="s">
        <v>469</v>
      </c>
      <c r="C23" s="1" t="s">
        <v>638</v>
      </c>
      <c r="D23" t="s">
        <v>1147</v>
      </c>
      <c r="E23" s="5">
        <v>63616.850000000006</v>
      </c>
      <c r="F23" s="5">
        <v>34961.300000000003</v>
      </c>
      <c r="G23" s="2">
        <v>124280.8599999999</v>
      </c>
      <c r="H23" s="2">
        <v>124280.86</v>
      </c>
      <c r="I23" s="10"/>
    </row>
    <row r="24" spans="1:9">
      <c r="A24" t="s">
        <v>730</v>
      </c>
      <c r="B24" t="s">
        <v>298</v>
      </c>
      <c r="C24" s="1" t="s">
        <v>621</v>
      </c>
      <c r="D24" t="s">
        <v>1149</v>
      </c>
      <c r="E24" s="5">
        <v>836811</v>
      </c>
      <c r="F24" s="5">
        <v>821411.49999999977</v>
      </c>
      <c r="G24" s="2">
        <v>268512.08</v>
      </c>
      <c r="H24" s="2">
        <v>268512.08</v>
      </c>
      <c r="I24" s="10"/>
    </row>
    <row r="25" spans="1:9">
      <c r="A25" t="s">
        <v>731</v>
      </c>
      <c r="B25" t="s">
        <v>298</v>
      </c>
      <c r="C25" s="1" t="s">
        <v>297</v>
      </c>
      <c r="D25" t="s">
        <v>1149</v>
      </c>
      <c r="E25" s="5">
        <v>68985.149999999994</v>
      </c>
      <c r="F25" s="5">
        <v>65404.020000000004</v>
      </c>
      <c r="G25" s="2">
        <v>2993357.45</v>
      </c>
      <c r="H25" s="2">
        <v>2906594.5499999993</v>
      </c>
      <c r="I25" s="10"/>
    </row>
    <row r="26" spans="1:9">
      <c r="A26" t="s">
        <v>732</v>
      </c>
      <c r="B26" t="s">
        <v>292</v>
      </c>
      <c r="C26" s="1" t="s">
        <v>555</v>
      </c>
      <c r="D26" t="s">
        <v>1148</v>
      </c>
      <c r="E26" s="5">
        <v>459191.96999999986</v>
      </c>
      <c r="F26" s="5">
        <v>364984.69999999995</v>
      </c>
      <c r="G26" s="2">
        <v>1000</v>
      </c>
      <c r="H26" s="2">
        <v>1000</v>
      </c>
      <c r="I26" s="10"/>
    </row>
    <row r="27" spans="1:9">
      <c r="A27" t="s">
        <v>734</v>
      </c>
      <c r="B27" t="s">
        <v>292</v>
      </c>
      <c r="C27" s="1" t="s">
        <v>291</v>
      </c>
      <c r="D27" t="s">
        <v>1148</v>
      </c>
      <c r="E27" s="5">
        <v>64021.920000000006</v>
      </c>
      <c r="F27" s="5">
        <v>55734.07</v>
      </c>
      <c r="G27" s="2">
        <v>1000</v>
      </c>
      <c r="H27" s="2">
        <v>1000</v>
      </c>
      <c r="I27" s="10"/>
    </row>
    <row r="28" spans="1:9">
      <c r="A28" t="s">
        <v>736</v>
      </c>
      <c r="B28" t="s">
        <v>518</v>
      </c>
      <c r="C28" s="1" t="s">
        <v>519</v>
      </c>
      <c r="D28" t="s">
        <v>1440</v>
      </c>
      <c r="E28" s="5">
        <v>124280.86</v>
      </c>
      <c r="F28" s="5">
        <v>124280.85999999997</v>
      </c>
      <c r="G28" s="2">
        <v>2000</v>
      </c>
      <c r="H28" s="2">
        <v>2000</v>
      </c>
      <c r="I28" s="10"/>
    </row>
    <row r="29" spans="1:9">
      <c r="A29" t="s">
        <v>737</v>
      </c>
      <c r="B29" t="s">
        <v>518</v>
      </c>
      <c r="C29" s="1" t="s">
        <v>517</v>
      </c>
      <c r="D29" t="s">
        <v>1440</v>
      </c>
      <c r="E29" s="5">
        <v>268512.08000000013</v>
      </c>
      <c r="F29" s="5">
        <v>268512.08</v>
      </c>
      <c r="G29" s="2">
        <v>1500</v>
      </c>
      <c r="H29" s="2">
        <v>0</v>
      </c>
      <c r="I29" s="10"/>
    </row>
    <row r="30" spans="1:9">
      <c r="A30" t="s">
        <v>738</v>
      </c>
      <c r="B30" t="s">
        <v>251</v>
      </c>
      <c r="C30" s="1" t="s">
        <v>250</v>
      </c>
      <c r="D30" t="s">
        <v>1150</v>
      </c>
      <c r="E30" s="5">
        <v>1045346.15</v>
      </c>
      <c r="F30" s="5">
        <v>1045346.15</v>
      </c>
      <c r="G30" s="2">
        <v>1000</v>
      </c>
      <c r="H30" s="2">
        <v>0</v>
      </c>
      <c r="I30" s="10"/>
    </row>
    <row r="31" spans="1:9">
      <c r="A31" t="s">
        <v>739</v>
      </c>
      <c r="B31" t="s">
        <v>56</v>
      </c>
      <c r="C31" s="1" t="s">
        <v>55</v>
      </c>
      <c r="D31" t="s">
        <v>1153</v>
      </c>
      <c r="E31" s="5">
        <v>634978</v>
      </c>
      <c r="F31" s="5">
        <v>630851.99999999988</v>
      </c>
      <c r="G31" s="2">
        <v>1000</v>
      </c>
      <c r="H31" s="2">
        <v>0</v>
      </c>
      <c r="I31" s="10"/>
    </row>
    <row r="32" spans="1:9">
      <c r="A32" t="s">
        <v>740</v>
      </c>
      <c r="B32" t="s">
        <v>47</v>
      </c>
      <c r="C32" s="1" t="s">
        <v>46</v>
      </c>
      <c r="D32" t="s">
        <v>1152</v>
      </c>
      <c r="E32" s="5">
        <v>1213342.5</v>
      </c>
      <c r="F32" s="5">
        <v>1213342.5</v>
      </c>
      <c r="G32" s="2">
        <v>900</v>
      </c>
      <c r="H32" s="2">
        <v>0</v>
      </c>
      <c r="I32" s="10"/>
    </row>
    <row r="33" spans="1:9">
      <c r="A33" t="s">
        <v>741</v>
      </c>
      <c r="B33" t="s">
        <v>35</v>
      </c>
      <c r="C33" s="1" t="s">
        <v>34</v>
      </c>
      <c r="D33" t="s">
        <v>1154</v>
      </c>
      <c r="E33" s="5">
        <v>1624485</v>
      </c>
      <c r="F33" s="5">
        <v>1066074</v>
      </c>
      <c r="G33" s="2">
        <v>974043.06</v>
      </c>
      <c r="H33" s="2">
        <v>884104.71</v>
      </c>
      <c r="I33" s="10"/>
    </row>
    <row r="34" spans="1:9">
      <c r="A34" t="s">
        <v>742</v>
      </c>
      <c r="B34" t="s">
        <v>5</v>
      </c>
      <c r="C34" s="1" t="s">
        <v>4</v>
      </c>
      <c r="D34" t="s">
        <v>1151</v>
      </c>
      <c r="E34" s="5">
        <v>573931.84999999986</v>
      </c>
      <c r="F34" s="5">
        <v>547062.17999999993</v>
      </c>
      <c r="G34" s="2">
        <v>1500</v>
      </c>
      <c r="H34" s="2">
        <v>925</v>
      </c>
      <c r="I34" s="10"/>
    </row>
    <row r="35" spans="1:9">
      <c r="A35" t="s">
        <v>743</v>
      </c>
      <c r="B35" t="s">
        <v>613</v>
      </c>
      <c r="C35" s="1" t="s">
        <v>612</v>
      </c>
      <c r="D35" t="s">
        <v>1164</v>
      </c>
      <c r="E35" s="5">
        <v>1000</v>
      </c>
      <c r="F35" s="5">
        <v>1000</v>
      </c>
      <c r="G35" s="2">
        <v>34530</v>
      </c>
      <c r="H35" s="2">
        <v>30248.720000000001</v>
      </c>
      <c r="I35" s="10"/>
    </row>
    <row r="36" spans="1:9">
      <c r="A36" t="s">
        <v>744</v>
      </c>
      <c r="B36" t="s">
        <v>541</v>
      </c>
      <c r="C36" s="1" t="s">
        <v>540</v>
      </c>
      <c r="D36" t="s">
        <v>1163</v>
      </c>
      <c r="E36" s="5">
        <v>1500</v>
      </c>
      <c r="F36" s="5">
        <v>1500</v>
      </c>
      <c r="G36" s="2">
        <v>15146</v>
      </c>
      <c r="H36" s="2">
        <v>15146</v>
      </c>
      <c r="I36" s="10"/>
    </row>
    <row r="37" spans="1:9">
      <c r="A37" t="s">
        <v>745</v>
      </c>
      <c r="B37" t="s">
        <v>657</v>
      </c>
      <c r="C37" s="1" t="s">
        <v>656</v>
      </c>
      <c r="D37" t="s">
        <v>1159</v>
      </c>
      <c r="E37" s="5">
        <v>7983.58</v>
      </c>
      <c r="F37" s="5">
        <v>7983.58</v>
      </c>
      <c r="G37" s="2">
        <v>15146</v>
      </c>
      <c r="H37" s="2">
        <v>15146</v>
      </c>
      <c r="I37" s="10"/>
    </row>
    <row r="38" spans="1:9">
      <c r="A38" t="s">
        <v>746</v>
      </c>
      <c r="B38" t="s">
        <v>591</v>
      </c>
      <c r="C38" s="1" t="s">
        <v>590</v>
      </c>
      <c r="D38" t="s">
        <v>1161</v>
      </c>
      <c r="E38" s="5">
        <v>5500</v>
      </c>
      <c r="F38" s="5">
        <v>5500</v>
      </c>
      <c r="G38" s="2">
        <v>25261</v>
      </c>
      <c r="H38" s="2">
        <v>25261</v>
      </c>
      <c r="I38" s="10"/>
    </row>
    <row r="39" spans="1:9">
      <c r="A39" t="s">
        <v>748</v>
      </c>
      <c r="B39" t="s">
        <v>602</v>
      </c>
      <c r="C39" s="1" t="s">
        <v>601</v>
      </c>
      <c r="D39" t="s">
        <v>1162</v>
      </c>
      <c r="E39" s="5">
        <v>2000</v>
      </c>
      <c r="F39" s="5">
        <v>2000</v>
      </c>
      <c r="G39" s="2">
        <v>48370</v>
      </c>
      <c r="H39" s="2">
        <v>48370</v>
      </c>
      <c r="I39" s="10"/>
    </row>
    <row r="40" spans="1:9">
      <c r="A40" t="s">
        <v>749</v>
      </c>
      <c r="B40" t="s">
        <v>600</v>
      </c>
      <c r="C40" s="1" t="s">
        <v>599</v>
      </c>
      <c r="D40" t="s">
        <v>1160</v>
      </c>
      <c r="E40" s="5">
        <v>1000</v>
      </c>
      <c r="F40" s="5">
        <v>1000</v>
      </c>
      <c r="G40" s="2">
        <v>72807.649999999994</v>
      </c>
      <c r="H40" s="2">
        <v>72807.649999999994</v>
      </c>
      <c r="I40" s="10"/>
    </row>
    <row r="41" spans="1:9">
      <c r="A41" t="s">
        <v>750</v>
      </c>
      <c r="B41" t="s">
        <v>545</v>
      </c>
      <c r="C41" s="1" t="s">
        <v>544</v>
      </c>
      <c r="D41" t="s">
        <v>1158</v>
      </c>
      <c r="E41" s="5">
        <v>1000</v>
      </c>
      <c r="F41" s="5">
        <v>1000</v>
      </c>
      <c r="G41" s="2">
        <v>2860</v>
      </c>
      <c r="H41" s="2">
        <v>2860</v>
      </c>
      <c r="I41" s="10"/>
    </row>
    <row r="42" spans="1:9">
      <c r="A42" t="s">
        <v>751</v>
      </c>
      <c r="B42" t="s">
        <v>424</v>
      </c>
      <c r="C42" s="1" t="s">
        <v>423</v>
      </c>
      <c r="D42" t="s">
        <v>1178</v>
      </c>
      <c r="E42" s="5">
        <v>12970</v>
      </c>
      <c r="F42" s="5">
        <v>10658.84</v>
      </c>
      <c r="G42" s="2">
        <v>18100</v>
      </c>
      <c r="H42" s="2">
        <v>15369</v>
      </c>
      <c r="I42" s="10"/>
    </row>
    <row r="43" spans="1:9">
      <c r="A43" t="s">
        <v>752</v>
      </c>
      <c r="B43" t="s">
        <v>511</v>
      </c>
      <c r="C43" s="1" t="s">
        <v>510</v>
      </c>
      <c r="D43" t="s">
        <v>1176</v>
      </c>
      <c r="E43" s="5">
        <v>1870214.0099999995</v>
      </c>
      <c r="F43" s="5">
        <v>1870214.01</v>
      </c>
      <c r="G43" s="2">
        <v>27375</v>
      </c>
      <c r="H43" s="2">
        <v>27375</v>
      </c>
      <c r="I43" s="10"/>
    </row>
    <row r="44" spans="1:9">
      <c r="A44" t="s">
        <v>753</v>
      </c>
      <c r="B44" t="s">
        <v>41</v>
      </c>
      <c r="C44" s="1" t="s">
        <v>40</v>
      </c>
      <c r="D44" t="s">
        <v>1169</v>
      </c>
      <c r="E44" s="5">
        <v>34530</v>
      </c>
      <c r="F44" s="5">
        <v>34530.000000000007</v>
      </c>
      <c r="G44" s="2">
        <v>1000</v>
      </c>
      <c r="H44" s="2">
        <v>0</v>
      </c>
      <c r="I44" s="10"/>
    </row>
    <row r="45" spans="1:9">
      <c r="A45" t="s">
        <v>754</v>
      </c>
      <c r="B45" t="s">
        <v>561</v>
      </c>
      <c r="C45" s="1" t="s">
        <v>684</v>
      </c>
      <c r="D45" t="s">
        <v>1457</v>
      </c>
      <c r="E45" s="5">
        <v>25150</v>
      </c>
      <c r="F45" s="5">
        <v>25150</v>
      </c>
      <c r="G45" s="2">
        <v>1870214.0099999998</v>
      </c>
      <c r="H45" s="2">
        <v>1729037.79</v>
      </c>
      <c r="I45" s="10"/>
    </row>
    <row r="46" spans="1:9">
      <c r="A46" t="s">
        <v>755</v>
      </c>
      <c r="B46" t="s">
        <v>561</v>
      </c>
      <c r="C46" s="1" t="s">
        <v>682</v>
      </c>
      <c r="D46" t="s">
        <v>1456</v>
      </c>
      <c r="E46" s="5">
        <v>25261</v>
      </c>
      <c r="F46" s="5">
        <v>25261</v>
      </c>
      <c r="G46" s="2">
        <v>4535</v>
      </c>
      <c r="H46" s="2">
        <v>4535</v>
      </c>
      <c r="I46" s="10"/>
    </row>
    <row r="47" spans="1:9">
      <c r="A47" t="s">
        <v>756</v>
      </c>
      <c r="B47" t="s">
        <v>561</v>
      </c>
      <c r="C47" s="1" t="s">
        <v>683</v>
      </c>
      <c r="D47" t="s">
        <v>1455</v>
      </c>
      <c r="E47" s="5">
        <v>15146</v>
      </c>
      <c r="F47" s="5">
        <v>15146</v>
      </c>
      <c r="G47" s="2">
        <v>12970</v>
      </c>
      <c r="H47" s="2">
        <v>3240</v>
      </c>
      <c r="I47" s="10"/>
    </row>
    <row r="48" spans="1:9">
      <c r="A48" t="s">
        <v>757</v>
      </c>
      <c r="B48" t="s">
        <v>561</v>
      </c>
      <c r="C48" s="1" t="s">
        <v>663</v>
      </c>
      <c r="D48" t="s">
        <v>1459</v>
      </c>
      <c r="E48" s="5">
        <v>72807.649999999994</v>
      </c>
      <c r="F48" s="5">
        <v>72807.649999999994</v>
      </c>
      <c r="G48" s="2">
        <v>1420896.0100000002</v>
      </c>
      <c r="H48" s="2">
        <v>536734.28</v>
      </c>
      <c r="I48" s="10"/>
    </row>
    <row r="49" spans="1:9">
      <c r="A49" t="s">
        <v>758</v>
      </c>
      <c r="B49" t="s">
        <v>561</v>
      </c>
      <c r="C49" s="1" t="s">
        <v>658</v>
      </c>
      <c r="D49" t="s">
        <v>1458</v>
      </c>
      <c r="E49" s="5">
        <v>48370</v>
      </c>
      <c r="F49" s="5">
        <v>48370</v>
      </c>
      <c r="G49" s="2">
        <v>81245.490000000005</v>
      </c>
      <c r="H49" s="2">
        <v>81245.490000000005</v>
      </c>
      <c r="I49" s="10"/>
    </row>
    <row r="50" spans="1:9">
      <c r="A50" t="s">
        <v>759</v>
      </c>
      <c r="B50" t="s">
        <v>561</v>
      </c>
      <c r="C50" s="1" t="s">
        <v>681</v>
      </c>
      <c r="D50" t="s">
        <v>1454</v>
      </c>
      <c r="E50" s="5">
        <v>15146</v>
      </c>
      <c r="F50" s="5">
        <v>15146</v>
      </c>
      <c r="G50" s="2">
        <v>203859</v>
      </c>
      <c r="H50" s="2">
        <v>203859</v>
      </c>
      <c r="I50" s="10"/>
    </row>
    <row r="51" spans="1:9">
      <c r="A51" t="s">
        <v>760</v>
      </c>
      <c r="B51" t="s">
        <v>561</v>
      </c>
      <c r="C51" s="1" t="s">
        <v>560</v>
      </c>
      <c r="D51" t="s">
        <v>1454</v>
      </c>
      <c r="E51" s="5">
        <v>2860</v>
      </c>
      <c r="F51" s="5">
        <v>2860</v>
      </c>
      <c r="G51" s="2">
        <v>1361203.6900000006</v>
      </c>
      <c r="H51" s="2">
        <v>1361203.69</v>
      </c>
      <c r="I51" s="10"/>
    </row>
    <row r="52" spans="1:9">
      <c r="A52" t="s">
        <v>761</v>
      </c>
      <c r="B52" t="s">
        <v>551</v>
      </c>
      <c r="C52" s="1" t="s">
        <v>550</v>
      </c>
      <c r="D52" t="s">
        <v>1177</v>
      </c>
      <c r="E52" s="5">
        <v>4535</v>
      </c>
      <c r="F52" s="5">
        <v>4535</v>
      </c>
      <c r="G52" s="2">
        <v>562601.29999999993</v>
      </c>
      <c r="H52" s="2">
        <v>562601.30000000005</v>
      </c>
      <c r="I52" s="10"/>
    </row>
    <row r="53" spans="1:9">
      <c r="A53" t="s">
        <v>763</v>
      </c>
      <c r="B53" t="s">
        <v>87</v>
      </c>
      <c r="C53" s="1" t="s">
        <v>86</v>
      </c>
      <c r="D53" t="s">
        <v>1165</v>
      </c>
      <c r="E53" s="5">
        <v>999.99999999999989</v>
      </c>
      <c r="F53" s="5">
        <v>1000</v>
      </c>
      <c r="G53" s="2">
        <v>1583243.3800000001</v>
      </c>
      <c r="H53" s="2">
        <v>1583243.38</v>
      </c>
      <c r="I53" s="10"/>
    </row>
    <row r="54" spans="1:9">
      <c r="A54" t="s">
        <v>764</v>
      </c>
      <c r="B54" t="s">
        <v>400</v>
      </c>
      <c r="C54" s="1" t="s">
        <v>399</v>
      </c>
      <c r="D54" t="s">
        <v>1174</v>
      </c>
      <c r="E54" s="5">
        <v>47150.31</v>
      </c>
      <c r="F54" s="5">
        <v>27375</v>
      </c>
      <c r="G54" s="2">
        <v>1854415.73</v>
      </c>
      <c r="H54" s="2">
        <v>1854415.73</v>
      </c>
      <c r="I54" s="10"/>
    </row>
    <row r="55" spans="1:9">
      <c r="A55" t="s">
        <v>765</v>
      </c>
      <c r="B55" t="s">
        <v>217</v>
      </c>
      <c r="C55" s="1" t="s">
        <v>216</v>
      </c>
      <c r="D55" t="s">
        <v>1167</v>
      </c>
      <c r="E55" s="5">
        <v>937043.06000000017</v>
      </c>
      <c r="F55" s="5">
        <v>937043.06000000017</v>
      </c>
      <c r="G55" s="2">
        <v>506399.42000000016</v>
      </c>
      <c r="H55" s="2">
        <v>506399.42</v>
      </c>
      <c r="I55" s="10"/>
    </row>
    <row r="56" spans="1:9">
      <c r="A56" t="s">
        <v>766</v>
      </c>
      <c r="B56" t="s">
        <v>217</v>
      </c>
      <c r="C56" s="1" t="s">
        <v>598</v>
      </c>
      <c r="D56" t="s">
        <v>1168</v>
      </c>
      <c r="E56" s="5">
        <v>1500</v>
      </c>
      <c r="F56" s="5">
        <v>1500</v>
      </c>
      <c r="G56" s="2">
        <v>400035.49999999994</v>
      </c>
      <c r="H56" s="2">
        <v>400035.5</v>
      </c>
      <c r="I56" s="10"/>
    </row>
    <row r="57" spans="1:9">
      <c r="A57" t="s">
        <v>767</v>
      </c>
      <c r="B57" t="s">
        <v>217</v>
      </c>
      <c r="C57" s="1" t="s">
        <v>1453</v>
      </c>
      <c r="D57" t="s">
        <v>1168</v>
      </c>
      <c r="E57" s="5">
        <v>205431.00000000003</v>
      </c>
      <c r="F57" s="5">
        <v>76154.649999999994</v>
      </c>
      <c r="G57" s="2">
        <v>1247644.27</v>
      </c>
      <c r="H57" s="2">
        <v>1247644.27</v>
      </c>
      <c r="I57" s="10"/>
    </row>
    <row r="58" spans="1:9">
      <c r="A58" t="s">
        <v>768</v>
      </c>
      <c r="B58" t="s">
        <v>574</v>
      </c>
      <c r="C58" s="1" t="s">
        <v>573</v>
      </c>
      <c r="D58" t="s">
        <v>1166</v>
      </c>
      <c r="E58" s="5">
        <v>900</v>
      </c>
      <c r="F58" s="5">
        <v>900</v>
      </c>
      <c r="G58" s="2">
        <v>286062</v>
      </c>
      <c r="H58" s="2">
        <v>286062</v>
      </c>
      <c r="I58" s="10"/>
    </row>
    <row r="59" spans="1:9">
      <c r="A59" t="s">
        <v>769</v>
      </c>
      <c r="B59" t="s">
        <v>557</v>
      </c>
      <c r="C59" s="1" t="s">
        <v>556</v>
      </c>
      <c r="D59" t="s">
        <v>1175</v>
      </c>
      <c r="E59" s="5">
        <v>1000</v>
      </c>
      <c r="F59" s="5">
        <v>1000</v>
      </c>
      <c r="G59" s="2">
        <v>2226853.5299999993</v>
      </c>
      <c r="H59" s="2">
        <v>2226853.5300000003</v>
      </c>
      <c r="I59" s="10"/>
    </row>
    <row r="60" spans="1:9">
      <c r="A60" t="s">
        <v>770</v>
      </c>
      <c r="B60" t="s">
        <v>515</v>
      </c>
      <c r="C60" s="1" t="s">
        <v>514</v>
      </c>
      <c r="D60" t="s">
        <v>1173</v>
      </c>
      <c r="E60" s="5">
        <v>18100</v>
      </c>
      <c r="F60" s="5">
        <v>18100</v>
      </c>
      <c r="G60" s="2">
        <v>248029</v>
      </c>
      <c r="H60" s="2">
        <v>248029</v>
      </c>
      <c r="I60" s="10"/>
    </row>
    <row r="61" spans="1:9">
      <c r="A61" t="s">
        <v>771</v>
      </c>
      <c r="B61" t="s">
        <v>261</v>
      </c>
      <c r="C61" s="1" t="s">
        <v>260</v>
      </c>
      <c r="D61" t="s">
        <v>1179</v>
      </c>
      <c r="E61" s="5">
        <v>1420896.01</v>
      </c>
      <c r="F61" s="5">
        <v>949414.6399999999</v>
      </c>
      <c r="G61" s="2">
        <v>92968.56</v>
      </c>
      <c r="H61" s="2">
        <v>92968.56</v>
      </c>
      <c r="I61" s="10"/>
    </row>
    <row r="62" spans="1:9">
      <c r="A62" t="s">
        <v>773</v>
      </c>
      <c r="B62" t="s">
        <v>675</v>
      </c>
      <c r="C62" s="1" t="s">
        <v>674</v>
      </c>
      <c r="D62" t="s">
        <v>1445</v>
      </c>
      <c r="E62" s="5">
        <v>203859</v>
      </c>
      <c r="F62" s="5">
        <v>203859</v>
      </c>
      <c r="G62" s="2">
        <v>322613.74000000011</v>
      </c>
      <c r="H62" s="2">
        <v>322613.74</v>
      </c>
      <c r="I62" s="10"/>
    </row>
    <row r="63" spans="1:9">
      <c r="A63" t="s">
        <v>774</v>
      </c>
      <c r="B63" t="s">
        <v>100</v>
      </c>
      <c r="C63" s="1" t="s">
        <v>99</v>
      </c>
      <c r="D63" t="s">
        <v>1445</v>
      </c>
      <c r="E63" s="5">
        <v>521926.97</v>
      </c>
      <c r="F63" s="5">
        <v>521926.97</v>
      </c>
      <c r="G63" s="2">
        <v>86914.78</v>
      </c>
      <c r="H63" s="2">
        <v>69345.440000000002</v>
      </c>
      <c r="I63" s="10"/>
    </row>
    <row r="64" spans="1:9">
      <c r="A64" t="s">
        <v>775</v>
      </c>
      <c r="B64" t="s">
        <v>677</v>
      </c>
      <c r="C64" s="1" t="s">
        <v>676</v>
      </c>
      <c r="D64" t="s">
        <v>1445</v>
      </c>
      <c r="E64" s="5">
        <v>286062</v>
      </c>
      <c r="F64" s="5">
        <v>286062</v>
      </c>
      <c r="G64" s="2">
        <v>19531</v>
      </c>
      <c r="H64" s="2">
        <v>450</v>
      </c>
      <c r="I64" s="10"/>
    </row>
    <row r="65" spans="1:9">
      <c r="A65" t="s">
        <v>776</v>
      </c>
      <c r="B65" t="s">
        <v>679</v>
      </c>
      <c r="C65" s="1" t="s">
        <v>678</v>
      </c>
      <c r="D65" t="s">
        <v>1445</v>
      </c>
      <c r="E65" s="5">
        <v>248029</v>
      </c>
      <c r="F65" s="5">
        <v>248029</v>
      </c>
      <c r="G65" s="2">
        <v>74212</v>
      </c>
      <c r="H65" s="2">
        <v>0</v>
      </c>
      <c r="I65" s="10"/>
    </row>
    <row r="66" spans="1:9">
      <c r="A66" t="s">
        <v>777</v>
      </c>
      <c r="B66" t="s">
        <v>125</v>
      </c>
      <c r="C66" s="1" t="s">
        <v>124</v>
      </c>
      <c r="D66" t="s">
        <v>1446</v>
      </c>
      <c r="E66" s="5">
        <v>477394.11999999982</v>
      </c>
      <c r="F66" s="5">
        <v>477394.12000000005</v>
      </c>
      <c r="G66" s="2">
        <v>102925</v>
      </c>
      <c r="H66" s="2">
        <v>0</v>
      </c>
      <c r="I66" s="10"/>
    </row>
    <row r="67" spans="1:9">
      <c r="A67" t="s">
        <v>778</v>
      </c>
      <c r="B67" t="s">
        <v>81</v>
      </c>
      <c r="C67" s="1" t="s">
        <v>80</v>
      </c>
      <c r="D67" t="s">
        <v>1448</v>
      </c>
      <c r="E67" s="5">
        <v>562601.30000000005</v>
      </c>
      <c r="F67" s="5">
        <v>562601.30000000016</v>
      </c>
      <c r="G67" s="2">
        <v>9486448.0000000019</v>
      </c>
      <c r="H67" s="2">
        <v>9416218.3399999943</v>
      </c>
      <c r="I67" s="10"/>
    </row>
    <row r="68" spans="1:9">
      <c r="A68" t="s">
        <v>779</v>
      </c>
      <c r="B68" t="s">
        <v>107</v>
      </c>
      <c r="C68" s="1" t="s">
        <v>106</v>
      </c>
      <c r="D68" t="s">
        <v>1448</v>
      </c>
      <c r="E68" s="5">
        <v>1854415.73</v>
      </c>
      <c r="F68" s="5">
        <v>1854415.73</v>
      </c>
      <c r="G68" s="2">
        <v>2387896.069999997</v>
      </c>
      <c r="H68" s="2">
        <v>2300590.34</v>
      </c>
      <c r="I68" s="10"/>
    </row>
    <row r="69" spans="1:9">
      <c r="A69" t="s">
        <v>780</v>
      </c>
      <c r="B69" t="s">
        <v>480</v>
      </c>
      <c r="C69" s="1" t="s">
        <v>479</v>
      </c>
      <c r="D69" t="s">
        <v>1448</v>
      </c>
      <c r="E69" s="5">
        <v>92968.56</v>
      </c>
      <c r="F69" s="5">
        <v>92968.559999999983</v>
      </c>
      <c r="G69" s="2">
        <v>39614</v>
      </c>
      <c r="H69" s="2">
        <v>6735.5</v>
      </c>
      <c r="I69" s="10"/>
    </row>
    <row r="70" spans="1:9">
      <c r="A70" t="s">
        <v>781</v>
      </c>
      <c r="B70" t="s">
        <v>141</v>
      </c>
      <c r="C70" s="1" t="s">
        <v>140</v>
      </c>
      <c r="D70" t="s">
        <v>1449</v>
      </c>
      <c r="E70" s="5">
        <v>400035.5</v>
      </c>
      <c r="F70" s="5">
        <v>400035.5</v>
      </c>
      <c r="G70" s="2">
        <v>199760.56</v>
      </c>
      <c r="H70" s="2">
        <v>8289.9</v>
      </c>
      <c r="I70" s="10"/>
    </row>
    <row r="71" spans="1:9">
      <c r="A71" t="s">
        <v>782</v>
      </c>
      <c r="B71" t="s">
        <v>102</v>
      </c>
      <c r="C71" s="1" t="s">
        <v>101</v>
      </c>
      <c r="D71" t="s">
        <v>1449</v>
      </c>
      <c r="E71" s="5">
        <v>602758.79</v>
      </c>
      <c r="F71" s="5">
        <v>602758.78999999992</v>
      </c>
      <c r="G71" s="2">
        <v>26383</v>
      </c>
      <c r="H71" s="2">
        <v>7877.2</v>
      </c>
      <c r="I71" s="10"/>
    </row>
    <row r="72" spans="1:9">
      <c r="A72" t="s">
        <v>783</v>
      </c>
      <c r="B72" t="s">
        <v>93</v>
      </c>
      <c r="C72" s="1" t="s">
        <v>92</v>
      </c>
      <c r="D72" t="s">
        <v>1449</v>
      </c>
      <c r="E72" s="5">
        <v>322613.74000000005</v>
      </c>
      <c r="F72" s="5">
        <v>322613.74000000005</v>
      </c>
      <c r="G72" s="2">
        <v>859835</v>
      </c>
      <c r="H72" s="2">
        <v>859835</v>
      </c>
      <c r="I72" s="10"/>
    </row>
    <row r="73" spans="1:9">
      <c r="A73" t="s">
        <v>784</v>
      </c>
      <c r="B73" t="s">
        <v>100</v>
      </c>
      <c r="C73" s="1" t="s">
        <v>1450</v>
      </c>
      <c r="D73" t="s">
        <v>1451</v>
      </c>
      <c r="E73" s="5">
        <v>725717.29999999981</v>
      </c>
      <c r="F73" s="5">
        <v>725717.29999999981</v>
      </c>
      <c r="G73" s="2">
        <v>109605</v>
      </c>
      <c r="H73" s="2">
        <v>22524</v>
      </c>
      <c r="I73" s="10"/>
    </row>
    <row r="74" spans="1:9">
      <c r="A74" t="s">
        <v>785</v>
      </c>
      <c r="B74" t="s">
        <v>102</v>
      </c>
      <c r="C74" s="1" t="s">
        <v>1452</v>
      </c>
      <c r="D74" t="s">
        <v>1451</v>
      </c>
      <c r="E74" s="5">
        <v>408787.47000000003</v>
      </c>
      <c r="F74" s="5">
        <v>408787.47000000009</v>
      </c>
      <c r="G74" s="2">
        <v>27739</v>
      </c>
      <c r="H74" s="2">
        <v>25049</v>
      </c>
      <c r="I74" s="10"/>
    </row>
    <row r="75" spans="1:9">
      <c r="A75" t="s">
        <v>786</v>
      </c>
      <c r="B75" t="s">
        <v>125</v>
      </c>
      <c r="C75" s="1" t="s">
        <v>1447</v>
      </c>
      <c r="D75" t="s">
        <v>1184</v>
      </c>
      <c r="E75" s="5">
        <v>883809.57</v>
      </c>
      <c r="F75" s="5">
        <v>883809.57000000007</v>
      </c>
      <c r="G75" s="2">
        <v>26888</v>
      </c>
      <c r="H75" s="2">
        <v>24198</v>
      </c>
      <c r="I75" s="10"/>
    </row>
    <row r="76" spans="1:9">
      <c r="A76" t="s">
        <v>787</v>
      </c>
      <c r="B76" t="s">
        <v>699</v>
      </c>
      <c r="C76" s="1" t="s">
        <v>698</v>
      </c>
      <c r="D76" t="s">
        <v>1184</v>
      </c>
      <c r="E76" s="5">
        <v>729819.60000000009</v>
      </c>
      <c r="F76" s="5">
        <v>729819.6</v>
      </c>
      <c r="G76" s="2">
        <v>26888</v>
      </c>
      <c r="H76" s="2">
        <v>24198</v>
      </c>
      <c r="I76" s="10"/>
    </row>
    <row r="77" spans="1:9">
      <c r="A77" t="s">
        <v>788</v>
      </c>
      <c r="B77" t="s">
        <v>133</v>
      </c>
      <c r="C77" s="1" t="s">
        <v>132</v>
      </c>
      <c r="D77" t="s">
        <v>1184</v>
      </c>
      <c r="E77" s="5">
        <v>1583243.38</v>
      </c>
      <c r="F77" s="5">
        <v>1583243.3800000001</v>
      </c>
      <c r="G77" s="2">
        <v>44040</v>
      </c>
      <c r="H77" s="2">
        <v>4400</v>
      </c>
      <c r="I77" s="10"/>
    </row>
    <row r="78" spans="1:9">
      <c r="A78" t="s">
        <v>790</v>
      </c>
      <c r="B78" t="s">
        <v>137</v>
      </c>
      <c r="C78" s="1" t="s">
        <v>136</v>
      </c>
      <c r="D78" t="s">
        <v>1184</v>
      </c>
      <c r="E78" s="5">
        <v>506399.42000000004</v>
      </c>
      <c r="F78" s="5">
        <v>506399.42</v>
      </c>
      <c r="G78" s="2">
        <v>47400</v>
      </c>
      <c r="H78" s="2">
        <v>4500</v>
      </c>
      <c r="I78" s="10"/>
    </row>
    <row r="79" spans="1:9">
      <c r="A79" t="s">
        <v>791</v>
      </c>
      <c r="B79" t="s">
        <v>143</v>
      </c>
      <c r="C79" s="1" t="s">
        <v>142</v>
      </c>
      <c r="D79" t="s">
        <v>1191</v>
      </c>
      <c r="E79" s="5">
        <v>2226853.5299999989</v>
      </c>
      <c r="F79" s="5">
        <v>2226853.5300000003</v>
      </c>
      <c r="G79" s="2">
        <v>30574</v>
      </c>
      <c r="H79" s="2">
        <v>4200</v>
      </c>
      <c r="I79" s="10"/>
    </row>
    <row r="80" spans="1:9">
      <c r="A80" t="s">
        <v>792</v>
      </c>
      <c r="B80" t="s">
        <v>524</v>
      </c>
      <c r="C80" s="1" t="s">
        <v>523</v>
      </c>
      <c r="D80" t="s">
        <v>1180</v>
      </c>
      <c r="E80" s="5">
        <v>81245.490000000005</v>
      </c>
      <c r="F80" s="5">
        <v>81245.490000000005</v>
      </c>
      <c r="G80" s="2">
        <v>28022</v>
      </c>
      <c r="H80" s="2">
        <v>4200</v>
      </c>
      <c r="I80" s="10"/>
    </row>
    <row r="81" spans="1:9">
      <c r="A81" t="s">
        <v>793</v>
      </c>
      <c r="B81" t="s">
        <v>597</v>
      </c>
      <c r="C81" s="1" t="s">
        <v>596</v>
      </c>
      <c r="D81" t="s">
        <v>1203</v>
      </c>
      <c r="E81" s="5">
        <v>26383.000000000004</v>
      </c>
      <c r="F81" s="5">
        <v>26383</v>
      </c>
      <c r="G81" s="2">
        <v>17500</v>
      </c>
      <c r="H81" s="2">
        <v>0</v>
      </c>
      <c r="I81" s="10"/>
    </row>
    <row r="82" spans="1:9">
      <c r="A82" t="s">
        <v>794</v>
      </c>
      <c r="B82" t="s">
        <v>121</v>
      </c>
      <c r="C82" s="1" t="s">
        <v>301</v>
      </c>
      <c r="D82" t="s">
        <v>1200</v>
      </c>
      <c r="E82" s="5">
        <v>9883270.7299999967</v>
      </c>
      <c r="F82" s="5">
        <v>9855294.479999993</v>
      </c>
      <c r="G82" s="2">
        <v>44030</v>
      </c>
      <c r="H82" s="2">
        <v>0</v>
      </c>
      <c r="I82" s="10"/>
    </row>
    <row r="83" spans="1:9">
      <c r="A83" t="s">
        <v>795</v>
      </c>
      <c r="B83" t="s">
        <v>121</v>
      </c>
      <c r="C83" s="1" t="s">
        <v>120</v>
      </c>
      <c r="D83" t="s">
        <v>1200</v>
      </c>
      <c r="E83" s="5">
        <v>2367047.2099999948</v>
      </c>
      <c r="F83" s="5">
        <v>2151241.2299999991</v>
      </c>
      <c r="G83" s="2">
        <v>331944.99</v>
      </c>
      <c r="H83" s="2">
        <v>331944.73999999993</v>
      </c>
      <c r="I83" s="10"/>
    </row>
    <row r="84" spans="1:9">
      <c r="A84" t="s">
        <v>796</v>
      </c>
      <c r="B84" t="s">
        <v>650</v>
      </c>
      <c r="C84" s="1" t="s">
        <v>649</v>
      </c>
      <c r="D84" t="s">
        <v>1200</v>
      </c>
      <c r="E84" s="5">
        <v>1248108.5000000005</v>
      </c>
      <c r="F84" s="5">
        <v>1248108.3900000001</v>
      </c>
      <c r="G84" s="2">
        <v>65265</v>
      </c>
      <c r="H84" s="2">
        <v>13813.95</v>
      </c>
      <c r="I84" s="10"/>
    </row>
    <row r="85" spans="1:9">
      <c r="A85" t="s">
        <v>797</v>
      </c>
      <c r="B85" t="s">
        <v>583</v>
      </c>
      <c r="C85" s="1" t="s">
        <v>582</v>
      </c>
      <c r="D85" t="s">
        <v>1205</v>
      </c>
      <c r="E85" s="5">
        <v>109605</v>
      </c>
      <c r="F85" s="5">
        <v>71680</v>
      </c>
      <c r="G85" s="2">
        <v>115259</v>
      </c>
      <c r="H85" s="2">
        <v>4096.6499999999996</v>
      </c>
      <c r="I85" s="10"/>
    </row>
    <row r="86" spans="1:9">
      <c r="A86" t="s">
        <v>798</v>
      </c>
      <c r="B86" t="s">
        <v>565</v>
      </c>
      <c r="C86" s="1" t="s">
        <v>564</v>
      </c>
      <c r="D86" t="s">
        <v>1199</v>
      </c>
      <c r="E86" s="5">
        <v>102925</v>
      </c>
      <c r="F86" s="5">
        <v>3375</v>
      </c>
      <c r="G86" s="2">
        <v>807015.5</v>
      </c>
      <c r="H86" s="2">
        <v>786101.52</v>
      </c>
      <c r="I86" s="10"/>
    </row>
    <row r="87" spans="1:9">
      <c r="A87" t="s">
        <v>799</v>
      </c>
      <c r="B87" t="s">
        <v>543</v>
      </c>
      <c r="C87" s="1" t="s">
        <v>542</v>
      </c>
      <c r="D87" t="s">
        <v>1197</v>
      </c>
      <c r="E87" s="5">
        <v>19531</v>
      </c>
      <c r="F87" s="5">
        <v>450</v>
      </c>
      <c r="G87" s="2">
        <v>782427.33999999985</v>
      </c>
      <c r="H87" s="2">
        <v>779777.34000000008</v>
      </c>
      <c r="I87" s="10"/>
    </row>
    <row r="88" spans="1:9">
      <c r="A88" t="s">
        <v>800</v>
      </c>
      <c r="B88" t="s">
        <v>604</v>
      </c>
      <c r="C88" s="1" t="s">
        <v>603</v>
      </c>
      <c r="D88" t="s">
        <v>1208</v>
      </c>
      <c r="E88" s="5">
        <v>26888</v>
      </c>
      <c r="F88" s="5">
        <v>26888</v>
      </c>
      <c r="G88" s="2">
        <v>23274</v>
      </c>
      <c r="H88" s="2">
        <v>1055.75</v>
      </c>
      <c r="I88" s="10"/>
    </row>
    <row r="89" spans="1:9">
      <c r="A89" t="s">
        <v>802</v>
      </c>
      <c r="B89" t="s">
        <v>587</v>
      </c>
      <c r="C89" s="1" t="s">
        <v>586</v>
      </c>
      <c r="D89" t="s">
        <v>1206</v>
      </c>
      <c r="E89" s="5">
        <v>27739</v>
      </c>
      <c r="F89" s="5">
        <v>27739</v>
      </c>
      <c r="G89" s="2">
        <v>55141</v>
      </c>
      <c r="H89" s="2">
        <v>12256.25</v>
      </c>
      <c r="I89" s="10"/>
    </row>
    <row r="90" spans="1:9">
      <c r="A90" t="s">
        <v>803</v>
      </c>
      <c r="B90" t="s">
        <v>164</v>
      </c>
      <c r="C90" s="1" t="s">
        <v>163</v>
      </c>
      <c r="D90" t="s">
        <v>1204</v>
      </c>
      <c r="E90" s="5">
        <v>859835</v>
      </c>
      <c r="F90" s="5">
        <v>859835</v>
      </c>
      <c r="G90" s="2">
        <v>626369.39</v>
      </c>
      <c r="H90" s="2">
        <v>618303.97</v>
      </c>
      <c r="I90" s="10"/>
    </row>
    <row r="91" spans="1:9">
      <c r="A91" t="s">
        <v>806</v>
      </c>
      <c r="B91" t="s">
        <v>631</v>
      </c>
      <c r="C91" s="1" t="s">
        <v>652</v>
      </c>
      <c r="D91" t="s">
        <v>1202</v>
      </c>
      <c r="E91" s="5">
        <v>199718.58</v>
      </c>
      <c r="F91" s="5">
        <v>199718.57999999996</v>
      </c>
      <c r="G91" s="2">
        <v>86744</v>
      </c>
      <c r="H91" s="2">
        <v>23894.95</v>
      </c>
      <c r="I91" s="10"/>
    </row>
    <row r="92" spans="1:9">
      <c r="A92" t="s">
        <v>807</v>
      </c>
      <c r="B92" t="s">
        <v>623</v>
      </c>
      <c r="C92" s="1" t="s">
        <v>622</v>
      </c>
      <c r="D92" t="s">
        <v>1209</v>
      </c>
      <c r="E92" s="5">
        <v>44040</v>
      </c>
      <c r="F92" s="5">
        <v>44040</v>
      </c>
      <c r="G92" s="2">
        <v>66910.3</v>
      </c>
      <c r="H92" s="2">
        <v>26279.65</v>
      </c>
      <c r="I92" s="10"/>
    </row>
    <row r="93" spans="1:9">
      <c r="A93" t="s">
        <v>808</v>
      </c>
      <c r="B93" t="s">
        <v>589</v>
      </c>
      <c r="C93" s="1" t="s">
        <v>588</v>
      </c>
      <c r="D93" t="s">
        <v>1198</v>
      </c>
      <c r="E93" s="5">
        <v>74212</v>
      </c>
      <c r="F93" s="5">
        <v>2250</v>
      </c>
      <c r="G93" s="2">
        <v>12438.880000000003</v>
      </c>
      <c r="H93" s="2">
        <v>12438.88</v>
      </c>
      <c r="I93" s="10"/>
    </row>
    <row r="94" spans="1:9">
      <c r="A94" t="s">
        <v>809</v>
      </c>
      <c r="B94" t="s">
        <v>615</v>
      </c>
      <c r="C94" s="1" t="s">
        <v>614</v>
      </c>
      <c r="D94" t="s">
        <v>1210</v>
      </c>
      <c r="E94" s="5">
        <v>47400</v>
      </c>
      <c r="F94" s="5">
        <v>47400</v>
      </c>
      <c r="G94" s="2">
        <v>55964</v>
      </c>
      <c r="H94" s="2">
        <v>14092.45</v>
      </c>
      <c r="I94" s="10"/>
    </row>
    <row r="95" spans="1:9">
      <c r="A95" t="s">
        <v>810</v>
      </c>
      <c r="B95" t="s">
        <v>559</v>
      </c>
      <c r="C95" s="1" t="s">
        <v>558</v>
      </c>
      <c r="D95" t="s">
        <v>1214</v>
      </c>
      <c r="E95" s="5">
        <v>44030</v>
      </c>
      <c r="G95" s="2">
        <v>2728798.54</v>
      </c>
      <c r="H95" s="2">
        <v>40162.559999999998</v>
      </c>
    </row>
    <row r="96" spans="1:9">
      <c r="A96" t="s">
        <v>811</v>
      </c>
      <c r="B96" t="s">
        <v>611</v>
      </c>
      <c r="C96" s="1" t="s">
        <v>610</v>
      </c>
      <c r="D96" t="s">
        <v>1201</v>
      </c>
      <c r="E96" s="5">
        <v>39614</v>
      </c>
      <c r="F96" s="5">
        <v>39614</v>
      </c>
      <c r="G96" s="2">
        <v>74257.540000000008</v>
      </c>
      <c r="H96" s="2">
        <v>12304.45</v>
      </c>
    </row>
    <row r="97" spans="1:8">
      <c r="A97" t="s">
        <v>813</v>
      </c>
      <c r="B97" t="s">
        <v>581</v>
      </c>
      <c r="C97" s="1" t="s">
        <v>580</v>
      </c>
      <c r="D97" t="s">
        <v>1211</v>
      </c>
      <c r="E97" s="5">
        <v>30574</v>
      </c>
      <c r="F97" s="5">
        <v>30574</v>
      </c>
      <c r="G97" s="2">
        <v>333188</v>
      </c>
      <c r="H97" s="2">
        <v>316528.59999999998</v>
      </c>
    </row>
    <row r="98" spans="1:8">
      <c r="A98" t="s">
        <v>814</v>
      </c>
      <c r="B98" t="s">
        <v>579</v>
      </c>
      <c r="C98" s="1" t="s">
        <v>578</v>
      </c>
      <c r="D98" t="s">
        <v>1207</v>
      </c>
      <c r="E98" s="5">
        <v>26888</v>
      </c>
      <c r="F98" s="5">
        <v>26888</v>
      </c>
      <c r="G98" s="2">
        <v>608912</v>
      </c>
      <c r="H98" s="2">
        <v>608912</v>
      </c>
    </row>
    <row r="99" spans="1:8">
      <c r="A99" t="s">
        <v>815</v>
      </c>
      <c r="B99" t="s">
        <v>595</v>
      </c>
      <c r="C99" s="1" t="s">
        <v>594</v>
      </c>
      <c r="D99" t="s">
        <v>1212</v>
      </c>
      <c r="E99" s="5">
        <v>28022</v>
      </c>
      <c r="F99" s="5">
        <v>28022</v>
      </c>
      <c r="G99" s="2">
        <v>200591.42999999996</v>
      </c>
      <c r="H99" s="2">
        <v>200591.43</v>
      </c>
    </row>
    <row r="100" spans="1:8">
      <c r="A100" t="s">
        <v>816</v>
      </c>
      <c r="B100" t="s">
        <v>593</v>
      </c>
      <c r="C100" s="1" t="s">
        <v>592</v>
      </c>
      <c r="D100" t="s">
        <v>1213</v>
      </c>
      <c r="E100" s="5">
        <v>17500</v>
      </c>
      <c r="F100" s="5">
        <v>15000</v>
      </c>
      <c r="G100" s="2">
        <v>80388</v>
      </c>
      <c r="H100" s="2">
        <v>33030.199999999997</v>
      </c>
    </row>
    <row r="101" spans="1:8">
      <c r="A101" t="s">
        <v>817</v>
      </c>
      <c r="B101" t="s">
        <v>278</v>
      </c>
      <c r="C101" s="1" t="s">
        <v>277</v>
      </c>
      <c r="D101" t="s">
        <v>1225</v>
      </c>
      <c r="E101" s="5">
        <v>83954.05</v>
      </c>
      <c r="F101" s="5">
        <v>81795.05</v>
      </c>
      <c r="G101" s="2">
        <v>39635.80000000001</v>
      </c>
      <c r="H101" s="2">
        <v>31212.73</v>
      </c>
    </row>
    <row r="102" spans="1:8">
      <c r="A102" t="s">
        <v>818</v>
      </c>
      <c r="B102" t="s">
        <v>391</v>
      </c>
      <c r="C102" s="1" t="s">
        <v>449</v>
      </c>
      <c r="D102" t="s">
        <v>1216</v>
      </c>
      <c r="E102" s="5">
        <v>87225</v>
      </c>
      <c r="F102" s="5">
        <v>86018</v>
      </c>
      <c r="G102" s="2">
        <v>858211.53999999992</v>
      </c>
      <c r="H102" s="2">
        <v>773178.49000000011</v>
      </c>
    </row>
    <row r="103" spans="1:8">
      <c r="A103" t="s">
        <v>819</v>
      </c>
      <c r="B103" t="s">
        <v>391</v>
      </c>
      <c r="C103" s="1" t="s">
        <v>390</v>
      </c>
      <c r="D103" t="s">
        <v>1216</v>
      </c>
      <c r="E103" s="5">
        <v>806934.64</v>
      </c>
      <c r="F103" s="5">
        <v>806934.6399999999</v>
      </c>
      <c r="G103" s="2">
        <v>72103.14</v>
      </c>
      <c r="H103" s="2">
        <v>23366.9</v>
      </c>
    </row>
    <row r="104" spans="1:8">
      <c r="A104" t="s">
        <v>821</v>
      </c>
      <c r="B104" t="s">
        <v>109</v>
      </c>
      <c r="C104" s="1" t="s">
        <v>108</v>
      </c>
      <c r="D104" t="s">
        <v>1222</v>
      </c>
      <c r="E104" s="5">
        <v>1331118.17</v>
      </c>
      <c r="F104" s="5">
        <v>1331118.17</v>
      </c>
      <c r="G104" s="2">
        <v>60565.79</v>
      </c>
      <c r="H104" s="2">
        <v>40349.94</v>
      </c>
    </row>
    <row r="105" spans="1:8">
      <c r="A105" t="s">
        <v>822</v>
      </c>
      <c r="B105" t="s">
        <v>109</v>
      </c>
      <c r="C105" s="1" t="s">
        <v>290</v>
      </c>
      <c r="D105" t="s">
        <v>1222</v>
      </c>
      <c r="E105" s="5">
        <v>70505.539999999994</v>
      </c>
      <c r="F105" s="5">
        <v>68346.540000000008</v>
      </c>
      <c r="G105" s="2">
        <v>473707.75</v>
      </c>
      <c r="H105" s="2">
        <v>94754</v>
      </c>
    </row>
    <row r="106" spans="1:8">
      <c r="A106" t="s">
        <v>823</v>
      </c>
      <c r="B106" t="s">
        <v>286</v>
      </c>
      <c r="C106" s="1" t="s">
        <v>285</v>
      </c>
      <c r="D106" t="s">
        <v>1219</v>
      </c>
      <c r="E106" s="5">
        <v>97134.17</v>
      </c>
      <c r="F106" s="5">
        <v>63231.7</v>
      </c>
      <c r="G106" s="2">
        <v>2040133.6600000001</v>
      </c>
      <c r="H106" s="2">
        <v>1389897.4699999997</v>
      </c>
    </row>
    <row r="107" spans="1:8">
      <c r="A107" t="s">
        <v>824</v>
      </c>
      <c r="B107" t="s">
        <v>300</v>
      </c>
      <c r="C107" s="1" t="s">
        <v>299</v>
      </c>
      <c r="D107" t="s">
        <v>1223</v>
      </c>
      <c r="E107" s="5">
        <v>69658.84</v>
      </c>
      <c r="F107" s="5">
        <v>44034.17</v>
      </c>
      <c r="G107" s="2">
        <v>54347.669999999984</v>
      </c>
      <c r="H107" s="2">
        <v>31676.36</v>
      </c>
    </row>
    <row r="108" spans="1:8">
      <c r="A108" t="s">
        <v>826</v>
      </c>
      <c r="B108" t="s">
        <v>499</v>
      </c>
      <c r="C108" s="1" t="s">
        <v>575</v>
      </c>
      <c r="D108" t="s">
        <v>1227</v>
      </c>
      <c r="E108" s="5">
        <v>23274</v>
      </c>
      <c r="F108" s="5">
        <v>21115</v>
      </c>
      <c r="G108" s="2">
        <v>77654</v>
      </c>
      <c r="H108" s="2">
        <v>39538.9</v>
      </c>
    </row>
    <row r="109" spans="1:8">
      <c r="A109" t="s">
        <v>828</v>
      </c>
      <c r="B109" t="s">
        <v>499</v>
      </c>
      <c r="C109" s="1" t="s">
        <v>498</v>
      </c>
      <c r="D109" t="s">
        <v>1227</v>
      </c>
      <c r="E109" s="5">
        <v>333188</v>
      </c>
      <c r="F109" s="5">
        <v>316528.59999999998</v>
      </c>
      <c r="G109" s="2">
        <v>422035</v>
      </c>
      <c r="H109" s="2">
        <v>0</v>
      </c>
    </row>
    <row r="110" spans="1:8">
      <c r="A110" t="s">
        <v>829</v>
      </c>
      <c r="B110" t="s">
        <v>58</v>
      </c>
      <c r="C110" s="1" t="s">
        <v>57</v>
      </c>
      <c r="D110" t="s">
        <v>1434</v>
      </c>
      <c r="E110" s="5">
        <v>782427.34</v>
      </c>
      <c r="F110" s="5">
        <v>782427.34</v>
      </c>
      <c r="G110" s="2">
        <v>2294.3700000000026</v>
      </c>
      <c r="H110" s="2">
        <v>2294.37</v>
      </c>
    </row>
    <row r="111" spans="1:8">
      <c r="A111" t="s">
        <v>830</v>
      </c>
      <c r="B111" t="s">
        <v>58</v>
      </c>
      <c r="C111" s="1" t="s">
        <v>552</v>
      </c>
      <c r="D111" t="s">
        <v>1434</v>
      </c>
      <c r="E111" s="5">
        <v>23274</v>
      </c>
      <c r="F111" s="5">
        <v>21115</v>
      </c>
      <c r="G111" s="2">
        <v>517233.92999999993</v>
      </c>
      <c r="H111" s="2">
        <v>420016.06000000011</v>
      </c>
    </row>
    <row r="112" spans="1:8">
      <c r="A112" t="s">
        <v>831</v>
      </c>
      <c r="B112" t="s">
        <v>296</v>
      </c>
      <c r="C112" s="1" t="s">
        <v>295</v>
      </c>
      <c r="D112" t="s">
        <v>1220</v>
      </c>
      <c r="E112" s="5">
        <v>57889.540000000008</v>
      </c>
      <c r="F112" s="5">
        <v>55730.54</v>
      </c>
      <c r="G112" s="2">
        <v>2629422.77</v>
      </c>
      <c r="H112" s="2">
        <v>2569845.1600000006</v>
      </c>
    </row>
    <row r="113" spans="1:8">
      <c r="A113" t="s">
        <v>832</v>
      </c>
      <c r="B113" t="s">
        <v>709</v>
      </c>
      <c r="C113" s="1" t="s">
        <v>708</v>
      </c>
      <c r="D113" t="s">
        <v>1224</v>
      </c>
      <c r="E113" s="5">
        <v>12438.88</v>
      </c>
      <c r="F113" s="5">
        <v>12438.88</v>
      </c>
      <c r="G113" s="2">
        <v>325368.04999999993</v>
      </c>
      <c r="H113" s="2">
        <v>325368.05000000005</v>
      </c>
    </row>
    <row r="114" spans="1:8">
      <c r="A114" t="s">
        <v>833</v>
      </c>
      <c r="B114" t="s">
        <v>220</v>
      </c>
      <c r="C114" s="1" t="s">
        <v>219</v>
      </c>
      <c r="D114" t="s">
        <v>1221</v>
      </c>
      <c r="E114" s="5">
        <v>618303.97</v>
      </c>
      <c r="F114" s="5">
        <v>618303.97</v>
      </c>
      <c r="G114" s="2">
        <v>60358.41</v>
      </c>
      <c r="H114" s="2">
        <v>21797.690000000002</v>
      </c>
    </row>
    <row r="115" spans="1:8">
      <c r="A115" t="s">
        <v>835</v>
      </c>
      <c r="B115" t="s">
        <v>220</v>
      </c>
      <c r="C115" s="1" t="s">
        <v>310</v>
      </c>
      <c r="D115" t="s">
        <v>1221</v>
      </c>
      <c r="E115" s="5">
        <v>66092.539999999994</v>
      </c>
      <c r="F115" s="5">
        <v>61403.54</v>
      </c>
      <c r="G115" s="2">
        <v>97394.95</v>
      </c>
      <c r="H115" s="2">
        <v>56469.17</v>
      </c>
    </row>
    <row r="116" spans="1:8">
      <c r="A116" t="s">
        <v>836</v>
      </c>
      <c r="B116" t="s">
        <v>276</v>
      </c>
      <c r="C116" s="1" t="s">
        <v>369</v>
      </c>
      <c r="D116" t="s">
        <v>1215</v>
      </c>
      <c r="E116" s="5">
        <v>331944.74</v>
      </c>
      <c r="F116" s="5">
        <v>331944.73999999993</v>
      </c>
      <c r="G116" s="2">
        <v>1196053.6599999999</v>
      </c>
      <c r="H116" s="2">
        <v>751615.66</v>
      </c>
    </row>
    <row r="117" spans="1:8">
      <c r="A117" t="s">
        <v>837</v>
      </c>
      <c r="B117" t="s">
        <v>276</v>
      </c>
      <c r="C117" s="1" t="s">
        <v>275</v>
      </c>
      <c r="D117" t="s">
        <v>1215</v>
      </c>
      <c r="E117" s="5">
        <v>57553.570000000007</v>
      </c>
      <c r="F117" s="5">
        <v>52864.57</v>
      </c>
      <c r="G117" s="2">
        <v>77378.959999999992</v>
      </c>
      <c r="H117" s="2">
        <v>6995.25</v>
      </c>
    </row>
    <row r="118" spans="1:8">
      <c r="A118" t="s">
        <v>838</v>
      </c>
      <c r="B118" t="s">
        <v>282</v>
      </c>
      <c r="C118" s="1" t="s">
        <v>535</v>
      </c>
      <c r="D118" t="s">
        <v>1226</v>
      </c>
      <c r="E118" s="5">
        <v>2728798.54</v>
      </c>
      <c r="F118" s="5">
        <v>485174.75999999995</v>
      </c>
      <c r="G118" s="2">
        <v>1999490</v>
      </c>
      <c r="H118" s="2">
        <v>1466639.28</v>
      </c>
    </row>
    <row r="119" spans="1:8">
      <c r="A119" t="s">
        <v>839</v>
      </c>
      <c r="B119" t="s">
        <v>282</v>
      </c>
      <c r="C119" s="1" t="s">
        <v>281</v>
      </c>
      <c r="D119" t="s">
        <v>1226</v>
      </c>
      <c r="E119" s="5">
        <v>60976.080000000009</v>
      </c>
      <c r="F119" s="5">
        <v>57145.539999999994</v>
      </c>
      <c r="G119" s="2">
        <v>1429551.9099999997</v>
      </c>
      <c r="H119" s="2">
        <v>1402255.77</v>
      </c>
    </row>
    <row r="120" spans="1:8">
      <c r="A120" t="s">
        <v>840</v>
      </c>
      <c r="B120" t="s">
        <v>307</v>
      </c>
      <c r="C120" s="1" t="s">
        <v>484</v>
      </c>
      <c r="D120" t="s">
        <v>1228</v>
      </c>
      <c r="E120" s="5">
        <v>608912</v>
      </c>
      <c r="F120" s="5">
        <v>608912</v>
      </c>
      <c r="G120" s="2">
        <v>699501</v>
      </c>
      <c r="H120" s="2">
        <v>0</v>
      </c>
    </row>
    <row r="121" spans="1:8">
      <c r="A121" t="s">
        <v>841</v>
      </c>
      <c r="B121" t="s">
        <v>307</v>
      </c>
      <c r="C121" s="1" t="s">
        <v>306</v>
      </c>
      <c r="D121" t="s">
        <v>1228</v>
      </c>
      <c r="E121" s="5">
        <v>200591.42999999996</v>
      </c>
      <c r="F121" s="5">
        <v>200591.43</v>
      </c>
      <c r="G121" s="2">
        <v>340097.91000000003</v>
      </c>
      <c r="H121" s="2">
        <v>178115.27</v>
      </c>
    </row>
    <row r="122" spans="1:8">
      <c r="A122" t="s">
        <v>842</v>
      </c>
      <c r="B122" t="s">
        <v>307</v>
      </c>
      <c r="C122" s="1" t="s">
        <v>482</v>
      </c>
      <c r="D122" t="s">
        <v>1228</v>
      </c>
      <c r="E122" s="5">
        <v>65250.94</v>
      </c>
      <c r="F122" s="5">
        <v>41850.6</v>
      </c>
      <c r="G122" s="2">
        <v>55862.32</v>
      </c>
      <c r="H122" s="2">
        <v>4663</v>
      </c>
    </row>
    <row r="123" spans="1:8">
      <c r="A123" t="s">
        <v>844</v>
      </c>
      <c r="B123" t="s">
        <v>127</v>
      </c>
      <c r="C123" s="1" t="s">
        <v>126</v>
      </c>
      <c r="D123" t="s">
        <v>1232</v>
      </c>
      <c r="E123" s="5">
        <v>762451.76</v>
      </c>
      <c r="F123" s="5">
        <v>762451.76</v>
      </c>
      <c r="G123" s="2">
        <v>495156.1100000001</v>
      </c>
      <c r="H123" s="2">
        <v>495156.11</v>
      </c>
    </row>
    <row r="124" spans="1:8">
      <c r="A124" t="s">
        <v>845</v>
      </c>
      <c r="B124" t="s">
        <v>127</v>
      </c>
      <c r="C124" s="1" t="s">
        <v>491</v>
      </c>
      <c r="D124" t="s">
        <v>1232</v>
      </c>
      <c r="E124" s="5">
        <v>80830.22</v>
      </c>
      <c r="F124" s="5">
        <v>55895.54</v>
      </c>
      <c r="G124" s="2">
        <v>260921.37</v>
      </c>
      <c r="H124" s="2">
        <v>16941.23</v>
      </c>
    </row>
    <row r="125" spans="1:8">
      <c r="A125" t="s">
        <v>846</v>
      </c>
      <c r="B125" t="s">
        <v>127</v>
      </c>
      <c r="C125" s="1" t="s">
        <v>421</v>
      </c>
      <c r="D125" t="s">
        <v>1232</v>
      </c>
      <c r="E125" s="5">
        <v>466787.75</v>
      </c>
      <c r="F125" s="5">
        <v>466787.75</v>
      </c>
      <c r="G125" s="2">
        <v>5372185</v>
      </c>
      <c r="H125" s="2">
        <v>1895394.12</v>
      </c>
    </row>
    <row r="126" spans="1:8">
      <c r="A126" t="s">
        <v>847</v>
      </c>
      <c r="B126" t="s">
        <v>305</v>
      </c>
      <c r="C126" s="1" t="s">
        <v>380</v>
      </c>
      <c r="D126" t="s">
        <v>1435</v>
      </c>
      <c r="E126" s="5">
        <v>55693.8</v>
      </c>
      <c r="F126" s="5">
        <v>39241.729999999996</v>
      </c>
      <c r="G126" s="2">
        <v>605000</v>
      </c>
      <c r="H126" s="2">
        <v>195129.30999999997</v>
      </c>
    </row>
    <row r="127" spans="1:8">
      <c r="A127" t="s">
        <v>849</v>
      </c>
      <c r="B127" t="s">
        <v>305</v>
      </c>
      <c r="C127" s="1" t="s">
        <v>304</v>
      </c>
      <c r="D127" t="s">
        <v>1435</v>
      </c>
      <c r="E127" s="5">
        <v>852834.45999999973</v>
      </c>
      <c r="F127" s="5">
        <v>807878.32000000018</v>
      </c>
      <c r="G127" s="2">
        <v>38849</v>
      </c>
      <c r="H127" s="2">
        <v>13948.3</v>
      </c>
    </row>
    <row r="128" spans="1:8">
      <c r="A128" t="s">
        <v>850</v>
      </c>
      <c r="B128" t="s">
        <v>554</v>
      </c>
      <c r="C128" s="1" t="s">
        <v>553</v>
      </c>
      <c r="D128" t="s">
        <v>1231</v>
      </c>
      <c r="E128" s="5">
        <v>30335.98</v>
      </c>
      <c r="F128" s="5">
        <v>23366.9</v>
      </c>
      <c r="G128" s="2">
        <v>368398</v>
      </c>
      <c r="H128" s="2">
        <v>284088.53999999998</v>
      </c>
    </row>
    <row r="129" spans="1:8">
      <c r="A129" t="s">
        <v>851</v>
      </c>
      <c r="B129" t="s">
        <v>21</v>
      </c>
      <c r="C129" s="1" t="s">
        <v>20</v>
      </c>
      <c r="D129" t="s">
        <v>1233</v>
      </c>
      <c r="E129" s="5">
        <v>2040133.66</v>
      </c>
      <c r="F129" s="5">
        <v>1904257.3</v>
      </c>
      <c r="G129" s="2">
        <v>811513.43</v>
      </c>
      <c r="H129" s="2">
        <v>811513.43</v>
      </c>
    </row>
    <row r="130" spans="1:8">
      <c r="A130" t="s">
        <v>852</v>
      </c>
      <c r="B130" t="s">
        <v>526</v>
      </c>
      <c r="C130" s="1" t="s">
        <v>525</v>
      </c>
      <c r="D130" t="s">
        <v>1234</v>
      </c>
      <c r="E130" s="5">
        <v>38654.599999999984</v>
      </c>
      <c r="F130" s="5">
        <v>38654.6</v>
      </c>
      <c r="G130" s="2">
        <v>2751321.9999999995</v>
      </c>
      <c r="H130" s="2">
        <v>2722903.9499999993</v>
      </c>
    </row>
    <row r="131" spans="1:8">
      <c r="A131" t="s">
        <v>853</v>
      </c>
      <c r="B131" t="s">
        <v>446</v>
      </c>
      <c r="C131" s="1" t="s">
        <v>445</v>
      </c>
      <c r="D131" t="s">
        <v>1235</v>
      </c>
      <c r="E131" s="5">
        <v>565272.28</v>
      </c>
      <c r="F131" s="5">
        <v>565272.27999999991</v>
      </c>
      <c r="G131" s="2">
        <v>38678</v>
      </c>
      <c r="H131" s="2">
        <v>3919</v>
      </c>
    </row>
    <row r="132" spans="1:8">
      <c r="A132" t="s">
        <v>854</v>
      </c>
      <c r="B132" t="s">
        <v>446</v>
      </c>
      <c r="C132" s="1" t="s">
        <v>520</v>
      </c>
      <c r="D132" t="s">
        <v>1235</v>
      </c>
      <c r="E132" s="5">
        <v>77654</v>
      </c>
      <c r="F132" s="5">
        <v>42601.85</v>
      </c>
      <c r="G132" s="2">
        <v>163441.83000000002</v>
      </c>
      <c r="H132" s="2">
        <v>163441.82999999999</v>
      </c>
    </row>
    <row r="133" spans="1:8">
      <c r="A133" t="s">
        <v>855</v>
      </c>
      <c r="B133" t="s">
        <v>446</v>
      </c>
      <c r="C133" s="1" t="s">
        <v>527</v>
      </c>
      <c r="D133" t="s">
        <v>1235</v>
      </c>
      <c r="E133" s="5">
        <v>14874.599999999999</v>
      </c>
      <c r="F133" s="5">
        <v>14874.6</v>
      </c>
      <c r="G133" s="2">
        <v>154349.75</v>
      </c>
      <c r="H133" s="2">
        <v>154349.75</v>
      </c>
    </row>
    <row r="134" spans="1:8">
      <c r="A134" t="s">
        <v>856</v>
      </c>
      <c r="B134" t="s">
        <v>446</v>
      </c>
      <c r="C134" s="1" t="s">
        <v>653</v>
      </c>
      <c r="D134" t="s">
        <v>1235</v>
      </c>
      <c r="E134" s="5">
        <v>896985</v>
      </c>
      <c r="F134" s="5">
        <v>545822</v>
      </c>
      <c r="G134" s="2">
        <v>262569.65000000002</v>
      </c>
      <c r="H134" s="2">
        <v>262569.64999999997</v>
      </c>
    </row>
    <row r="135" spans="1:8">
      <c r="A135" t="s">
        <v>857</v>
      </c>
      <c r="B135" t="s">
        <v>703</v>
      </c>
      <c r="C135" s="1" t="s">
        <v>702</v>
      </c>
      <c r="D135" t="s">
        <v>1236</v>
      </c>
      <c r="E135" s="5">
        <v>2294.3700000000026</v>
      </c>
      <c r="F135" s="5">
        <v>2294.37</v>
      </c>
      <c r="G135" s="2">
        <v>154349.75</v>
      </c>
      <c r="H135" s="2">
        <v>154349.75</v>
      </c>
    </row>
    <row r="136" spans="1:8">
      <c r="A136" t="s">
        <v>858</v>
      </c>
      <c r="B136" t="s">
        <v>359</v>
      </c>
      <c r="C136" s="1" t="s">
        <v>358</v>
      </c>
      <c r="D136" t="s">
        <v>1237</v>
      </c>
      <c r="E136" s="5">
        <v>532368.01</v>
      </c>
      <c r="F136" s="5">
        <v>529258.05000000005</v>
      </c>
      <c r="G136" s="2">
        <v>154349.75</v>
      </c>
      <c r="H136" s="2">
        <v>154349.75</v>
      </c>
    </row>
    <row r="137" spans="1:8">
      <c r="A137" t="s">
        <v>859</v>
      </c>
      <c r="B137" t="s">
        <v>329</v>
      </c>
      <c r="C137" s="1" t="s">
        <v>328</v>
      </c>
      <c r="D137" t="s">
        <v>1242</v>
      </c>
      <c r="E137" s="5">
        <v>1196053.6599999999</v>
      </c>
      <c r="F137" s="5">
        <v>1162090.6599999999</v>
      </c>
      <c r="G137" s="2">
        <v>2342119.4499999997</v>
      </c>
      <c r="H137" s="2">
        <v>2333575.4800000018</v>
      </c>
    </row>
    <row r="138" spans="1:8">
      <c r="A138" t="s">
        <v>860</v>
      </c>
      <c r="B138" t="s">
        <v>329</v>
      </c>
      <c r="C138" s="1" t="s">
        <v>357</v>
      </c>
      <c r="D138" t="s">
        <v>1242</v>
      </c>
      <c r="E138" s="5">
        <v>77378.959999999992</v>
      </c>
      <c r="F138" s="5">
        <v>54532.89</v>
      </c>
      <c r="G138" s="2">
        <v>98822.54</v>
      </c>
      <c r="H138" s="2">
        <v>59079.41</v>
      </c>
    </row>
    <row r="139" spans="1:8">
      <c r="A139" t="s">
        <v>861</v>
      </c>
      <c r="B139" t="s">
        <v>455</v>
      </c>
      <c r="C139" s="1" t="s">
        <v>454</v>
      </c>
      <c r="D139" t="s">
        <v>1247</v>
      </c>
      <c r="E139" s="5">
        <v>495156.11</v>
      </c>
      <c r="F139" s="5">
        <v>495156.11</v>
      </c>
      <c r="G139" s="2">
        <v>227005.56</v>
      </c>
      <c r="H139" s="2">
        <v>227005.56</v>
      </c>
    </row>
    <row r="140" spans="1:8">
      <c r="A140" t="s">
        <v>862</v>
      </c>
      <c r="B140" t="s">
        <v>226</v>
      </c>
      <c r="C140" s="1" t="s">
        <v>225</v>
      </c>
      <c r="D140" t="s">
        <v>1244</v>
      </c>
      <c r="E140" s="5">
        <v>1429551.9099999997</v>
      </c>
      <c r="F140" s="5">
        <v>1420231.6099999996</v>
      </c>
      <c r="G140" s="2">
        <v>116271.35</v>
      </c>
      <c r="H140" s="2">
        <v>116271.35</v>
      </c>
    </row>
    <row r="141" spans="1:8">
      <c r="A141" t="s">
        <v>864</v>
      </c>
      <c r="B141" t="s">
        <v>226</v>
      </c>
      <c r="C141" s="1" t="s">
        <v>644</v>
      </c>
      <c r="D141" t="s">
        <v>1436</v>
      </c>
      <c r="E141" s="5">
        <v>1296238.3399999999</v>
      </c>
      <c r="F141" s="5">
        <v>1296238.3400000001</v>
      </c>
      <c r="G141" s="2">
        <v>59179</v>
      </c>
      <c r="H141" s="2">
        <v>27119.47</v>
      </c>
    </row>
    <row r="142" spans="1:8">
      <c r="A142" t="s">
        <v>865</v>
      </c>
      <c r="B142" t="s">
        <v>45</v>
      </c>
      <c r="C142" s="1" t="s">
        <v>44</v>
      </c>
      <c r="D142" t="s">
        <v>1243</v>
      </c>
      <c r="E142" s="5">
        <v>2154587</v>
      </c>
      <c r="F142" s="5">
        <v>1803007.93</v>
      </c>
      <c r="G142" s="2">
        <v>66065</v>
      </c>
      <c r="H142" s="2">
        <v>35971.449999999997</v>
      </c>
    </row>
    <row r="143" spans="1:8">
      <c r="A143" t="s">
        <v>866</v>
      </c>
      <c r="B143" t="s">
        <v>476</v>
      </c>
      <c r="C143" s="1" t="s">
        <v>475</v>
      </c>
      <c r="D143" t="s">
        <v>1248</v>
      </c>
      <c r="E143" s="5">
        <v>260921.37000000008</v>
      </c>
      <c r="F143" s="5">
        <v>56305.359999999993</v>
      </c>
      <c r="G143" s="2">
        <v>580417.09000000008</v>
      </c>
      <c r="H143" s="2">
        <v>580167.09000000008</v>
      </c>
    </row>
    <row r="144" spans="1:8">
      <c r="A144" t="s">
        <v>867</v>
      </c>
      <c r="B144" t="s">
        <v>394</v>
      </c>
      <c r="C144" s="1" t="s">
        <v>393</v>
      </c>
      <c r="D144" t="s">
        <v>1249</v>
      </c>
      <c r="E144" s="5">
        <v>5742368</v>
      </c>
      <c r="F144" s="5">
        <v>4162151.12</v>
      </c>
      <c r="G144" s="2">
        <v>55093</v>
      </c>
      <c r="H144" s="2">
        <v>18880.5</v>
      </c>
    </row>
    <row r="145" spans="1:8">
      <c r="A145" t="s">
        <v>869</v>
      </c>
      <c r="B145" t="s">
        <v>625</v>
      </c>
      <c r="C145" s="1" t="s">
        <v>645</v>
      </c>
      <c r="D145" t="s">
        <v>1437</v>
      </c>
      <c r="E145" s="5">
        <v>605000</v>
      </c>
      <c r="F145" s="5">
        <v>526170.52</v>
      </c>
      <c r="G145" s="2">
        <v>56862.79</v>
      </c>
      <c r="H145" s="2">
        <v>43979.6</v>
      </c>
    </row>
    <row r="146" spans="1:8">
      <c r="A146" t="s">
        <v>870</v>
      </c>
      <c r="B146" t="s">
        <v>255</v>
      </c>
      <c r="C146" s="1" t="s">
        <v>254</v>
      </c>
      <c r="D146" t="s">
        <v>1238</v>
      </c>
      <c r="E146" s="5">
        <v>2629422.77</v>
      </c>
      <c r="F146" s="5">
        <v>2629422.7699999991</v>
      </c>
      <c r="G146" s="2">
        <v>40029.770000000004</v>
      </c>
      <c r="H146" s="2">
        <v>38575.18</v>
      </c>
    </row>
    <row r="147" spans="1:8">
      <c r="A147" t="s">
        <v>871</v>
      </c>
      <c r="B147" t="s">
        <v>175</v>
      </c>
      <c r="C147" s="1" t="s">
        <v>174</v>
      </c>
      <c r="D147" t="s">
        <v>1239</v>
      </c>
      <c r="E147" s="5">
        <v>325368.04999999987</v>
      </c>
      <c r="F147" s="5">
        <v>325368.05</v>
      </c>
      <c r="G147" s="2">
        <v>294107.64</v>
      </c>
      <c r="H147" s="2">
        <v>167514.64000000001</v>
      </c>
    </row>
    <row r="148" spans="1:8">
      <c r="A148" t="s">
        <v>872</v>
      </c>
      <c r="B148" t="s">
        <v>411</v>
      </c>
      <c r="C148" s="1" t="s">
        <v>410</v>
      </c>
      <c r="D148" t="s">
        <v>1240</v>
      </c>
      <c r="E148" s="5">
        <v>60358.41</v>
      </c>
      <c r="F148" s="5">
        <v>53266.41</v>
      </c>
      <c r="G148" s="2">
        <v>38452.58</v>
      </c>
      <c r="H148" s="2">
        <v>36993.780000000006</v>
      </c>
    </row>
    <row r="149" spans="1:8">
      <c r="A149" t="s">
        <v>873</v>
      </c>
      <c r="B149" t="s">
        <v>27</v>
      </c>
      <c r="C149" s="1" t="s">
        <v>26</v>
      </c>
      <c r="D149" t="s">
        <v>1246</v>
      </c>
      <c r="E149" s="5">
        <v>362258.22</v>
      </c>
      <c r="F149" s="5">
        <v>362258.22</v>
      </c>
      <c r="G149" s="2">
        <v>146786.34</v>
      </c>
      <c r="H149" s="2">
        <v>139786.34</v>
      </c>
    </row>
    <row r="150" spans="1:8">
      <c r="A150" t="s">
        <v>874</v>
      </c>
      <c r="B150" t="s">
        <v>23</v>
      </c>
      <c r="C150" s="1" t="s">
        <v>22</v>
      </c>
      <c r="D150" t="s">
        <v>1241</v>
      </c>
      <c r="E150" s="5">
        <v>926370.80000000028</v>
      </c>
      <c r="F150" s="5">
        <v>926370.80000000016</v>
      </c>
      <c r="G150" s="2">
        <v>26155</v>
      </c>
      <c r="H150" s="2">
        <v>21004.5</v>
      </c>
    </row>
    <row r="151" spans="1:8">
      <c r="A151" t="s">
        <v>875</v>
      </c>
      <c r="B151" t="s">
        <v>23</v>
      </c>
      <c r="C151" s="1" t="s">
        <v>412</v>
      </c>
      <c r="D151" t="s">
        <v>1241</v>
      </c>
      <c r="E151" s="5">
        <v>97394.95</v>
      </c>
      <c r="F151" s="5">
        <v>88119.95</v>
      </c>
      <c r="G151" s="2">
        <v>48292</v>
      </c>
      <c r="H151" s="2">
        <v>7500</v>
      </c>
    </row>
    <row r="152" spans="1:8">
      <c r="A152" t="s">
        <v>876</v>
      </c>
      <c r="B152" t="s">
        <v>373</v>
      </c>
      <c r="C152" s="1" t="s">
        <v>372</v>
      </c>
      <c r="D152" t="s">
        <v>1245</v>
      </c>
      <c r="E152" s="5">
        <v>340097.91</v>
      </c>
      <c r="F152" s="5">
        <v>337543.91</v>
      </c>
      <c r="G152" s="2">
        <v>2438133.8199999998</v>
      </c>
      <c r="H152" s="2">
        <v>0</v>
      </c>
    </row>
    <row r="153" spans="1:8">
      <c r="A153" t="s">
        <v>877</v>
      </c>
      <c r="B153" t="s">
        <v>373</v>
      </c>
      <c r="C153" s="1" t="s">
        <v>413</v>
      </c>
      <c r="D153" t="s">
        <v>1245</v>
      </c>
      <c r="E153" s="5">
        <v>55862.32</v>
      </c>
      <c r="F153" s="5">
        <v>41393.61</v>
      </c>
      <c r="G153" s="2">
        <v>799841</v>
      </c>
      <c r="H153" s="2">
        <v>459317.94</v>
      </c>
    </row>
    <row r="154" spans="1:8">
      <c r="A154" t="s">
        <v>878</v>
      </c>
      <c r="B154" t="s">
        <v>181</v>
      </c>
      <c r="C154" s="1" t="s">
        <v>180</v>
      </c>
      <c r="D154" t="s">
        <v>1250</v>
      </c>
      <c r="E154" s="5">
        <v>1356781.44</v>
      </c>
      <c r="F154" s="5">
        <v>1356781.44</v>
      </c>
      <c r="G154" s="2">
        <v>17550</v>
      </c>
      <c r="H154" s="2">
        <v>12860</v>
      </c>
    </row>
    <row r="155" spans="1:8">
      <c r="A155" t="s">
        <v>879</v>
      </c>
      <c r="B155" t="s">
        <v>181</v>
      </c>
      <c r="C155" s="1" t="s">
        <v>495</v>
      </c>
      <c r="D155" t="s">
        <v>1250</v>
      </c>
      <c r="E155" s="5">
        <v>38849</v>
      </c>
      <c r="F155" s="5">
        <v>32537</v>
      </c>
      <c r="G155" s="2">
        <v>73186.78</v>
      </c>
      <c r="H155" s="2">
        <v>69186.78</v>
      </c>
    </row>
    <row r="156" spans="1:8">
      <c r="A156" t="s">
        <v>880</v>
      </c>
      <c r="B156" t="s">
        <v>431</v>
      </c>
      <c r="C156" s="1" t="s">
        <v>430</v>
      </c>
      <c r="D156" t="s">
        <v>1251</v>
      </c>
      <c r="E156" s="5">
        <v>368398</v>
      </c>
      <c r="F156" s="5">
        <v>284088.53999999998</v>
      </c>
      <c r="G156" s="2">
        <v>34947.160000000003</v>
      </c>
      <c r="H156" s="2">
        <v>29219.11</v>
      </c>
    </row>
    <row r="157" spans="1:8">
      <c r="A157" t="s">
        <v>881</v>
      </c>
      <c r="B157" t="s">
        <v>325</v>
      </c>
      <c r="C157" s="1" t="s">
        <v>324</v>
      </c>
      <c r="D157" t="s">
        <v>1438</v>
      </c>
      <c r="E157" s="5">
        <v>163441.82999999999</v>
      </c>
      <c r="F157" s="5">
        <v>163441.82999999999</v>
      </c>
      <c r="G157" s="2">
        <v>1963897.3200000003</v>
      </c>
      <c r="H157" s="2">
        <v>1963897.3199999998</v>
      </c>
    </row>
    <row r="158" spans="1:8">
      <c r="A158" t="s">
        <v>882</v>
      </c>
      <c r="B158" t="s">
        <v>692</v>
      </c>
      <c r="C158" s="1" t="s">
        <v>691</v>
      </c>
      <c r="D158" t="s">
        <v>1438</v>
      </c>
      <c r="E158" s="5">
        <v>154349.75</v>
      </c>
      <c r="F158" s="5">
        <v>154349.75</v>
      </c>
      <c r="G158" s="2">
        <v>396312.42999999993</v>
      </c>
      <c r="H158" s="2">
        <v>396312.43</v>
      </c>
    </row>
    <row r="159" spans="1:8">
      <c r="A159" t="s">
        <v>883</v>
      </c>
      <c r="B159" t="s">
        <v>327</v>
      </c>
      <c r="C159" s="1" t="s">
        <v>326</v>
      </c>
      <c r="D159" t="s">
        <v>1438</v>
      </c>
      <c r="E159" s="5">
        <v>154349.75</v>
      </c>
      <c r="F159" s="5">
        <v>154349.75</v>
      </c>
      <c r="G159" s="2">
        <v>284996.25000000006</v>
      </c>
      <c r="H159" s="2">
        <v>284996.25</v>
      </c>
    </row>
    <row r="160" spans="1:8">
      <c r="A160" t="s">
        <v>884</v>
      </c>
      <c r="B160" t="s">
        <v>185</v>
      </c>
      <c r="C160" s="1" t="s">
        <v>184</v>
      </c>
      <c r="D160" t="s">
        <v>1438</v>
      </c>
      <c r="E160" s="5">
        <v>154349.75</v>
      </c>
      <c r="F160" s="5">
        <v>154349.75</v>
      </c>
      <c r="G160" s="2">
        <v>504586.42000000004</v>
      </c>
      <c r="H160" s="2">
        <v>412321.31000000006</v>
      </c>
    </row>
    <row r="161" spans="1:8">
      <c r="A161" t="s">
        <v>885</v>
      </c>
      <c r="B161" t="s">
        <v>671</v>
      </c>
      <c r="C161" s="1" t="s">
        <v>670</v>
      </c>
      <c r="D161" t="s">
        <v>1256</v>
      </c>
      <c r="E161" s="5">
        <v>262569.65000000002</v>
      </c>
      <c r="F161" s="5">
        <v>262569.64999999997</v>
      </c>
      <c r="G161" s="2">
        <v>77378.959999999992</v>
      </c>
      <c r="H161" s="2">
        <v>6995.25</v>
      </c>
    </row>
    <row r="162" spans="1:8">
      <c r="A162" t="s">
        <v>886</v>
      </c>
      <c r="B162" t="s">
        <v>404</v>
      </c>
      <c r="C162" s="1" t="s">
        <v>403</v>
      </c>
      <c r="D162" t="s">
        <v>1252</v>
      </c>
      <c r="E162" s="5">
        <v>811513.43</v>
      </c>
      <c r="F162" s="5">
        <v>811513.42999999993</v>
      </c>
      <c r="G162" s="2">
        <v>1069177.3500000001</v>
      </c>
      <c r="H162" s="2">
        <v>546747.99</v>
      </c>
    </row>
    <row r="163" spans="1:8">
      <c r="A163" t="s">
        <v>887</v>
      </c>
      <c r="B163" t="s">
        <v>272</v>
      </c>
      <c r="C163" s="1" t="s">
        <v>271</v>
      </c>
      <c r="D163" t="s">
        <v>1253</v>
      </c>
      <c r="E163" s="5">
        <v>2751321.9999999995</v>
      </c>
      <c r="F163" s="5">
        <v>2738358.9999999995</v>
      </c>
      <c r="G163" s="2">
        <v>140259</v>
      </c>
      <c r="H163" s="2">
        <v>128459</v>
      </c>
    </row>
    <row r="164" spans="1:8">
      <c r="A164" t="s">
        <v>888</v>
      </c>
      <c r="B164" t="s">
        <v>272</v>
      </c>
      <c r="C164" s="1" t="s">
        <v>362</v>
      </c>
      <c r="D164" t="s">
        <v>1253</v>
      </c>
      <c r="E164" s="5">
        <v>38678</v>
      </c>
      <c r="F164" s="5">
        <v>31514.5</v>
      </c>
      <c r="G164" s="2">
        <v>109734.57</v>
      </c>
      <c r="H164" s="2">
        <v>11540</v>
      </c>
    </row>
    <row r="165" spans="1:8">
      <c r="A165" t="s">
        <v>889</v>
      </c>
      <c r="B165" t="s">
        <v>49</v>
      </c>
      <c r="C165" s="1" t="s">
        <v>48</v>
      </c>
      <c r="D165" t="s">
        <v>1259</v>
      </c>
      <c r="E165" s="5">
        <v>2339604.4500000002</v>
      </c>
      <c r="F165" s="5">
        <v>2339604.4500000002</v>
      </c>
      <c r="G165" s="2">
        <v>194760.84</v>
      </c>
      <c r="H165" s="2">
        <v>194518.88000000003</v>
      </c>
    </row>
    <row r="166" spans="1:8">
      <c r="A166" t="s">
        <v>890</v>
      </c>
      <c r="B166" t="s">
        <v>49</v>
      </c>
      <c r="C166" s="1" t="s">
        <v>530</v>
      </c>
      <c r="D166" t="s">
        <v>1259</v>
      </c>
      <c r="E166" s="5">
        <v>98822.54</v>
      </c>
      <c r="F166" s="5">
        <v>81424.74000000002</v>
      </c>
      <c r="G166" s="2">
        <v>166000</v>
      </c>
      <c r="H166" s="2">
        <v>164474.62</v>
      </c>
    </row>
    <row r="167" spans="1:8">
      <c r="A167" t="s">
        <v>891</v>
      </c>
      <c r="B167" t="s">
        <v>49</v>
      </c>
      <c r="C167" s="1" t="s">
        <v>483</v>
      </c>
      <c r="D167" t="s">
        <v>1259</v>
      </c>
      <c r="E167" s="5">
        <v>227005.56</v>
      </c>
      <c r="F167" s="5">
        <v>227005.56</v>
      </c>
      <c r="G167" s="2">
        <v>821931</v>
      </c>
      <c r="H167" s="2">
        <v>0</v>
      </c>
    </row>
    <row r="168" spans="1:8">
      <c r="A168" t="s">
        <v>892</v>
      </c>
      <c r="B168" t="s">
        <v>49</v>
      </c>
      <c r="C168" s="1" t="s">
        <v>546</v>
      </c>
      <c r="D168" t="s">
        <v>1259</v>
      </c>
      <c r="E168" s="5">
        <v>116271.34999999998</v>
      </c>
      <c r="F168" s="5">
        <v>116271.35</v>
      </c>
      <c r="G168" s="2">
        <v>12055</v>
      </c>
      <c r="H168" s="2">
        <v>12055</v>
      </c>
    </row>
    <row r="169" spans="1:8">
      <c r="A169" t="s">
        <v>893</v>
      </c>
      <c r="B169" t="s">
        <v>91</v>
      </c>
      <c r="C169" s="1" t="s">
        <v>90</v>
      </c>
      <c r="D169" t="s">
        <v>1262</v>
      </c>
      <c r="E169" s="5">
        <v>580417.09000000008</v>
      </c>
      <c r="F169" s="5">
        <v>580417.09</v>
      </c>
      <c r="G169" s="2">
        <v>2391913.9800000004</v>
      </c>
      <c r="H169" s="2">
        <v>1825258.72</v>
      </c>
    </row>
    <row r="170" spans="1:8">
      <c r="A170" t="s">
        <v>894</v>
      </c>
      <c r="B170" t="s">
        <v>91</v>
      </c>
      <c r="C170" s="1" t="s">
        <v>436</v>
      </c>
      <c r="D170" t="s">
        <v>1262</v>
      </c>
      <c r="E170" s="5">
        <v>55093</v>
      </c>
      <c r="F170" s="5">
        <v>54110</v>
      </c>
      <c r="G170" s="2">
        <v>109324.18</v>
      </c>
      <c r="H170" s="2">
        <v>100453.18</v>
      </c>
    </row>
    <row r="171" spans="1:8">
      <c r="A171" t="s">
        <v>895</v>
      </c>
      <c r="B171" t="s">
        <v>172</v>
      </c>
      <c r="C171" s="1" t="s">
        <v>570</v>
      </c>
      <c r="D171" t="s">
        <v>1260</v>
      </c>
      <c r="E171" s="5">
        <v>118290.72</v>
      </c>
      <c r="F171" s="5">
        <v>118290.72000000002</v>
      </c>
      <c r="G171" s="2">
        <v>142714.5</v>
      </c>
      <c r="H171" s="2">
        <v>142714.5</v>
      </c>
    </row>
    <row r="172" spans="1:8">
      <c r="A172" t="s">
        <v>896</v>
      </c>
      <c r="B172" t="s">
        <v>172</v>
      </c>
      <c r="C172" s="1" t="s">
        <v>171</v>
      </c>
      <c r="D172" t="s">
        <v>1260</v>
      </c>
      <c r="E172" s="5">
        <v>62071.43</v>
      </c>
      <c r="F172" s="5">
        <v>59912.429999999993</v>
      </c>
      <c r="G172" s="2">
        <v>1897074.5199999996</v>
      </c>
      <c r="H172" s="2">
        <v>1695636.57</v>
      </c>
    </row>
    <row r="173" spans="1:8">
      <c r="A173" t="s">
        <v>897</v>
      </c>
      <c r="B173" t="s">
        <v>294</v>
      </c>
      <c r="C173" s="1" t="s">
        <v>293</v>
      </c>
      <c r="D173" t="s">
        <v>1261</v>
      </c>
      <c r="E173" s="5">
        <v>86316.54</v>
      </c>
      <c r="F173" s="5">
        <v>81409</v>
      </c>
      <c r="G173" s="2">
        <v>888705.01</v>
      </c>
      <c r="H173" s="2">
        <v>880476.01</v>
      </c>
    </row>
    <row r="174" spans="1:8">
      <c r="A174" t="s">
        <v>898</v>
      </c>
      <c r="B174" t="s">
        <v>11</v>
      </c>
      <c r="C174" s="1" t="s">
        <v>10</v>
      </c>
      <c r="D174" t="s">
        <v>1263</v>
      </c>
      <c r="E174" s="5">
        <v>1503357.39</v>
      </c>
      <c r="F174" s="5">
        <v>1502248.06</v>
      </c>
      <c r="G174" s="2">
        <v>261955.77000000002</v>
      </c>
      <c r="H174" s="2">
        <v>261955.77</v>
      </c>
    </row>
    <row r="175" spans="1:8">
      <c r="A175" t="s">
        <v>899</v>
      </c>
      <c r="B175" t="s">
        <v>478</v>
      </c>
      <c r="C175" s="1" t="s">
        <v>477</v>
      </c>
      <c r="D175" t="s">
        <v>1266</v>
      </c>
      <c r="E175" s="5">
        <v>294107.64</v>
      </c>
      <c r="F175" s="5">
        <v>270107.64</v>
      </c>
      <c r="G175" s="2">
        <v>6532343.2199999997</v>
      </c>
      <c r="H175" s="2">
        <v>1531871.89</v>
      </c>
    </row>
    <row r="176" spans="1:8">
      <c r="A176" t="s">
        <v>900</v>
      </c>
      <c r="B176" t="s">
        <v>382</v>
      </c>
      <c r="C176" s="1" t="s">
        <v>381</v>
      </c>
      <c r="D176" t="s">
        <v>1268</v>
      </c>
      <c r="E176" s="5">
        <v>146786.34</v>
      </c>
      <c r="F176" s="5">
        <v>146786.34</v>
      </c>
      <c r="G176" s="2">
        <v>4860259.2799999993</v>
      </c>
      <c r="H176" s="2">
        <v>2176111.5499999998</v>
      </c>
    </row>
    <row r="177" spans="1:8">
      <c r="A177" t="s">
        <v>901</v>
      </c>
      <c r="B177" t="s">
        <v>494</v>
      </c>
      <c r="C177" s="1" t="s">
        <v>493</v>
      </c>
      <c r="D177" t="s">
        <v>1274</v>
      </c>
      <c r="E177" s="5">
        <v>73186.78</v>
      </c>
      <c r="F177" s="5">
        <v>73186.78</v>
      </c>
      <c r="G177" s="2">
        <v>81444.61</v>
      </c>
      <c r="H177" s="2">
        <v>73371.61</v>
      </c>
    </row>
    <row r="178" spans="1:8">
      <c r="A178" t="s">
        <v>902</v>
      </c>
      <c r="B178" t="s">
        <v>1465</v>
      </c>
      <c r="C178" s="1" t="s">
        <v>1466</v>
      </c>
      <c r="D178" t="s">
        <v>1467</v>
      </c>
      <c r="E178" s="5">
        <v>97000</v>
      </c>
      <c r="F178" s="5">
        <v>92100</v>
      </c>
      <c r="G178" s="2">
        <v>524061.76</v>
      </c>
      <c r="H178" s="2">
        <v>524061.76</v>
      </c>
    </row>
    <row r="179" spans="1:8">
      <c r="A179" t="s">
        <v>903</v>
      </c>
      <c r="B179" t="s">
        <v>486</v>
      </c>
      <c r="C179" s="1" t="s">
        <v>485</v>
      </c>
      <c r="D179" t="s">
        <v>1271</v>
      </c>
      <c r="E179" s="5">
        <v>2484051.8200000003</v>
      </c>
      <c r="F179" s="5">
        <v>2006051.5</v>
      </c>
      <c r="G179" s="2">
        <v>666333.9</v>
      </c>
      <c r="H179" s="2">
        <v>53068.1</v>
      </c>
    </row>
    <row r="180" spans="1:8">
      <c r="A180" t="s">
        <v>904</v>
      </c>
      <c r="B180" t="s">
        <v>585</v>
      </c>
      <c r="C180" s="1" t="s">
        <v>584</v>
      </c>
      <c r="D180" t="s">
        <v>1270</v>
      </c>
      <c r="E180" s="5">
        <v>48292</v>
      </c>
      <c r="F180" s="5">
        <v>48292</v>
      </c>
      <c r="G180" s="2">
        <v>551044</v>
      </c>
      <c r="H180" s="2">
        <v>546484</v>
      </c>
    </row>
    <row r="181" spans="1:8">
      <c r="A181" t="s">
        <v>905</v>
      </c>
      <c r="B181" t="s">
        <v>1462</v>
      </c>
      <c r="C181" s="1" t="s">
        <v>1463</v>
      </c>
      <c r="D181" t="s">
        <v>1464</v>
      </c>
      <c r="E181" s="5">
        <v>56000</v>
      </c>
      <c r="F181" s="5">
        <v>35950</v>
      </c>
      <c r="G181" s="2">
        <v>638588.62999999989</v>
      </c>
      <c r="H181" s="2">
        <v>637857.46999999986</v>
      </c>
    </row>
    <row r="182" spans="1:8">
      <c r="A182" t="s">
        <v>906</v>
      </c>
      <c r="B182" t="s">
        <v>379</v>
      </c>
      <c r="C182" s="1" t="s">
        <v>378</v>
      </c>
      <c r="D182" t="s">
        <v>1272</v>
      </c>
      <c r="E182" s="5">
        <v>799841</v>
      </c>
      <c r="F182" s="5">
        <v>798940.20000000007</v>
      </c>
      <c r="G182" s="2">
        <v>774000</v>
      </c>
      <c r="H182" s="2">
        <v>774000</v>
      </c>
    </row>
    <row r="183" spans="1:8">
      <c r="A183" t="s">
        <v>907</v>
      </c>
      <c r="B183" t="s">
        <v>567</v>
      </c>
      <c r="C183" s="1" t="s">
        <v>566</v>
      </c>
      <c r="D183" t="s">
        <v>1273</v>
      </c>
      <c r="E183" s="5">
        <v>17550</v>
      </c>
      <c r="F183" s="5">
        <v>17550</v>
      </c>
      <c r="G183" s="2">
        <v>20745</v>
      </c>
      <c r="H183" s="2">
        <v>20745</v>
      </c>
    </row>
    <row r="184" spans="1:8">
      <c r="A184" t="s">
        <v>908</v>
      </c>
      <c r="B184" t="s">
        <v>569</v>
      </c>
      <c r="C184" s="1" t="s">
        <v>568</v>
      </c>
      <c r="D184" t="s">
        <v>1269</v>
      </c>
      <c r="E184" s="5">
        <v>26155</v>
      </c>
      <c r="F184" s="5">
        <v>26155</v>
      </c>
      <c r="G184" s="2">
        <v>74999.33</v>
      </c>
      <c r="H184" s="2">
        <v>32218.100000000002</v>
      </c>
    </row>
    <row r="185" spans="1:8">
      <c r="A185" t="s">
        <v>909</v>
      </c>
      <c r="B185" t="s">
        <v>13</v>
      </c>
      <c r="C185" s="1" t="s">
        <v>12</v>
      </c>
      <c r="D185" t="s">
        <v>1276</v>
      </c>
      <c r="E185" s="5">
        <v>1963897.3199999998</v>
      </c>
      <c r="F185" s="5">
        <v>1963897.3200000003</v>
      </c>
      <c r="G185" s="2">
        <v>95119</v>
      </c>
      <c r="H185" s="2">
        <v>90559</v>
      </c>
    </row>
    <row r="186" spans="1:8">
      <c r="A186" t="s">
        <v>910</v>
      </c>
      <c r="B186" t="s">
        <v>224</v>
      </c>
      <c r="C186" s="1" t="s">
        <v>223</v>
      </c>
      <c r="D186" t="s">
        <v>1281</v>
      </c>
      <c r="E186" s="5">
        <v>194518.87999999998</v>
      </c>
      <c r="F186" s="5">
        <v>194518.88</v>
      </c>
      <c r="G186" s="2">
        <v>95119</v>
      </c>
      <c r="H186" s="2">
        <v>90559</v>
      </c>
    </row>
    <row r="187" spans="1:8">
      <c r="A187" t="s">
        <v>911</v>
      </c>
      <c r="B187" t="s">
        <v>460</v>
      </c>
      <c r="C187" s="1" t="s">
        <v>481</v>
      </c>
      <c r="D187" t="s">
        <v>1280</v>
      </c>
      <c r="E187" s="5">
        <v>139108.56000000003</v>
      </c>
      <c r="F187" s="5">
        <v>139108.56</v>
      </c>
      <c r="G187" s="2">
        <v>2705925.0900000003</v>
      </c>
      <c r="H187" s="2">
        <v>2192952.59</v>
      </c>
    </row>
    <row r="188" spans="1:8">
      <c r="A188" t="s">
        <v>912</v>
      </c>
      <c r="B188" t="s">
        <v>460</v>
      </c>
      <c r="C188" s="1" t="s">
        <v>459</v>
      </c>
      <c r="D188" t="s">
        <v>1280</v>
      </c>
      <c r="E188" s="5">
        <v>109734.57</v>
      </c>
      <c r="F188" s="5">
        <v>94283.97</v>
      </c>
      <c r="G188" s="2">
        <v>29411</v>
      </c>
      <c r="H188" s="2">
        <v>29411.000000000004</v>
      </c>
    </row>
    <row r="189" spans="1:8">
      <c r="A189" t="s">
        <v>913</v>
      </c>
      <c r="B189" t="s">
        <v>406</v>
      </c>
      <c r="C189" s="1" t="s">
        <v>405</v>
      </c>
      <c r="D189" t="s">
        <v>1279</v>
      </c>
      <c r="E189" s="5">
        <v>1069177.3499999994</v>
      </c>
      <c r="F189" s="5">
        <v>1014802.2200000001</v>
      </c>
      <c r="G189" s="2">
        <v>104225.42</v>
      </c>
      <c r="H189" s="2">
        <v>99665.42</v>
      </c>
    </row>
    <row r="190" spans="1:8">
      <c r="A190" t="s">
        <v>914</v>
      </c>
      <c r="B190" t="s">
        <v>501</v>
      </c>
      <c r="C190" s="1" t="s">
        <v>405</v>
      </c>
      <c r="D190" t="s">
        <v>1279</v>
      </c>
      <c r="E190" s="5">
        <v>821931</v>
      </c>
      <c r="F190" s="5">
        <v>821115.64</v>
      </c>
      <c r="G190" s="2">
        <v>29788</v>
      </c>
      <c r="H190" s="2">
        <v>29788</v>
      </c>
    </row>
    <row r="191" spans="1:8">
      <c r="A191" t="s">
        <v>915</v>
      </c>
      <c r="B191" t="s">
        <v>529</v>
      </c>
      <c r="C191" s="1" t="s">
        <v>405</v>
      </c>
      <c r="D191" t="s">
        <v>1279</v>
      </c>
      <c r="E191" s="5">
        <v>12055.000000000004</v>
      </c>
      <c r="F191" s="5">
        <v>12055</v>
      </c>
      <c r="G191" s="2">
        <v>31147.399999999994</v>
      </c>
      <c r="H191" s="2">
        <v>31147.4</v>
      </c>
    </row>
    <row r="192" spans="1:8">
      <c r="A192" t="s">
        <v>916</v>
      </c>
      <c r="B192" t="s">
        <v>222</v>
      </c>
      <c r="C192" s="1" t="s">
        <v>221</v>
      </c>
      <c r="D192" t="s">
        <v>1277</v>
      </c>
      <c r="E192" s="5">
        <v>396312.42999999993</v>
      </c>
      <c r="F192" s="5">
        <v>396312.42999999993</v>
      </c>
      <c r="G192" s="2">
        <v>469874.11999999988</v>
      </c>
      <c r="H192" s="2">
        <v>469874.12</v>
      </c>
    </row>
    <row r="193" spans="1:8">
      <c r="A193" t="s">
        <v>917</v>
      </c>
      <c r="B193" t="s">
        <v>222</v>
      </c>
      <c r="C193" s="1" t="s">
        <v>256</v>
      </c>
      <c r="D193" t="s">
        <v>1277</v>
      </c>
      <c r="E193" s="5">
        <v>284996.25</v>
      </c>
      <c r="F193" s="5">
        <v>284996.25000000006</v>
      </c>
      <c r="G193" s="2">
        <v>78340.42</v>
      </c>
      <c r="H193" s="2">
        <v>73780.42</v>
      </c>
    </row>
    <row r="194" spans="1:8">
      <c r="A194" t="s">
        <v>918</v>
      </c>
      <c r="B194" t="s">
        <v>351</v>
      </c>
      <c r="C194" s="1" t="s">
        <v>350</v>
      </c>
      <c r="D194" t="s">
        <v>1278</v>
      </c>
      <c r="E194" s="5">
        <v>500745.98</v>
      </c>
      <c r="F194" s="5">
        <v>500745.98</v>
      </c>
      <c r="G194" s="2">
        <v>229093.7</v>
      </c>
      <c r="H194" s="2">
        <v>229093.7</v>
      </c>
    </row>
    <row r="195" spans="1:8">
      <c r="A195" t="s">
        <v>919</v>
      </c>
      <c r="B195" t="s">
        <v>351</v>
      </c>
      <c r="C195" s="1" t="s">
        <v>392</v>
      </c>
      <c r="D195" t="s">
        <v>1278</v>
      </c>
      <c r="E195" s="5">
        <v>77378.959999999992</v>
      </c>
      <c r="F195" s="5">
        <v>60387.360000000001</v>
      </c>
      <c r="G195" s="2">
        <v>196845.41999999998</v>
      </c>
      <c r="H195" s="2">
        <v>187985.42</v>
      </c>
    </row>
    <row r="196" spans="1:8">
      <c r="A196" t="s">
        <v>921</v>
      </c>
      <c r="B196" t="s">
        <v>627</v>
      </c>
      <c r="C196" s="1" t="s">
        <v>626</v>
      </c>
      <c r="D196" t="s">
        <v>1282</v>
      </c>
      <c r="E196" s="5">
        <v>165797.57999999999</v>
      </c>
      <c r="F196" s="5">
        <v>165797.57999999999</v>
      </c>
      <c r="G196" s="2">
        <v>481971.65999999992</v>
      </c>
      <c r="H196" s="2">
        <v>481971.66000000003</v>
      </c>
    </row>
    <row r="197" spans="1:8">
      <c r="A197" t="s">
        <v>922</v>
      </c>
      <c r="B197" t="s">
        <v>686</v>
      </c>
      <c r="C197" s="1" t="s">
        <v>685</v>
      </c>
      <c r="D197" t="s">
        <v>1286</v>
      </c>
      <c r="E197" s="5">
        <v>261955.77000000005</v>
      </c>
      <c r="F197" s="5">
        <v>261955.77</v>
      </c>
      <c r="G197" s="2">
        <v>36338.420000000006</v>
      </c>
      <c r="H197" s="2">
        <v>36338.42</v>
      </c>
    </row>
    <row r="198" spans="1:8">
      <c r="A198" t="s">
        <v>923</v>
      </c>
      <c r="B198" t="s">
        <v>170</v>
      </c>
      <c r="C198" s="1" t="s">
        <v>169</v>
      </c>
      <c r="D198" t="s">
        <v>1283</v>
      </c>
      <c r="E198" s="5">
        <v>2391913.9799999991</v>
      </c>
      <c r="F198" s="5">
        <v>2384768.5399999996</v>
      </c>
      <c r="G198" s="2">
        <v>164859.40000000002</v>
      </c>
      <c r="H198" s="2">
        <v>164859.4</v>
      </c>
    </row>
    <row r="199" spans="1:8">
      <c r="A199" t="s">
        <v>924</v>
      </c>
      <c r="B199" t="s">
        <v>170</v>
      </c>
      <c r="C199" s="1" t="s">
        <v>407</v>
      </c>
      <c r="D199" t="s">
        <v>1283</v>
      </c>
      <c r="E199" s="5">
        <v>109324.18</v>
      </c>
      <c r="F199" s="5">
        <v>100453.18</v>
      </c>
      <c r="G199" s="2">
        <v>515026.94999999995</v>
      </c>
      <c r="H199" s="2">
        <v>515026.95</v>
      </c>
    </row>
    <row r="200" spans="1:8">
      <c r="A200" t="s">
        <v>925</v>
      </c>
      <c r="B200" t="s">
        <v>688</v>
      </c>
      <c r="C200" s="1" t="s">
        <v>687</v>
      </c>
      <c r="D200" t="s">
        <v>1284</v>
      </c>
      <c r="E200" s="5">
        <v>142714.5</v>
      </c>
      <c r="F200" s="5">
        <v>142714.5</v>
      </c>
      <c r="G200" s="2">
        <v>36338.42</v>
      </c>
      <c r="H200" s="2">
        <v>36338.42</v>
      </c>
    </row>
    <row r="201" spans="1:8">
      <c r="A201" t="s">
        <v>926</v>
      </c>
      <c r="B201" t="s">
        <v>418</v>
      </c>
      <c r="C201" s="1" t="s">
        <v>363</v>
      </c>
      <c r="D201" t="s">
        <v>1287</v>
      </c>
      <c r="E201" s="5">
        <v>6309371.8899999987</v>
      </c>
      <c r="F201" s="5">
        <v>2143264.21</v>
      </c>
      <c r="G201" s="2">
        <v>142175.41999999998</v>
      </c>
      <c r="H201" s="2">
        <v>137615.42000000001</v>
      </c>
    </row>
    <row r="202" spans="1:8">
      <c r="A202" t="s">
        <v>927</v>
      </c>
      <c r="B202" t="s">
        <v>418</v>
      </c>
      <c r="C202" s="1" t="s">
        <v>425</v>
      </c>
      <c r="D202" t="s">
        <v>1287</v>
      </c>
      <c r="E202" s="5">
        <v>4009660.71</v>
      </c>
      <c r="F202" s="5">
        <v>3088721.51</v>
      </c>
      <c r="G202" s="2">
        <v>604956.82999999984</v>
      </c>
      <c r="H202" s="2">
        <v>604956.83000000007</v>
      </c>
    </row>
    <row r="203" spans="1:8">
      <c r="A203" t="s">
        <v>928</v>
      </c>
      <c r="B203" t="s">
        <v>364</v>
      </c>
      <c r="C203" s="1" t="s">
        <v>363</v>
      </c>
      <c r="D203" t="s">
        <v>1287</v>
      </c>
      <c r="E203" s="5">
        <v>666333.9</v>
      </c>
      <c r="F203" s="5">
        <v>235525.1</v>
      </c>
      <c r="G203" s="2">
        <v>36338.420000000006</v>
      </c>
      <c r="H203" s="2">
        <v>36338.42</v>
      </c>
    </row>
    <row r="204" spans="1:8">
      <c r="A204" t="s">
        <v>929</v>
      </c>
      <c r="B204" t="s">
        <v>667</v>
      </c>
      <c r="C204" s="1" t="s">
        <v>666</v>
      </c>
      <c r="D204" t="s">
        <v>1289</v>
      </c>
      <c r="E204" s="5">
        <v>524061.76</v>
      </c>
      <c r="F204" s="5">
        <v>524061.76</v>
      </c>
      <c r="G204" s="2">
        <v>557721.82000000007</v>
      </c>
      <c r="H204" s="2">
        <v>557721.81999999995</v>
      </c>
    </row>
    <row r="205" spans="1:8">
      <c r="A205" t="s">
        <v>930</v>
      </c>
      <c r="B205" t="s">
        <v>384</v>
      </c>
      <c r="C205" s="1" t="s">
        <v>383</v>
      </c>
      <c r="D205" t="s">
        <v>1288</v>
      </c>
      <c r="E205" s="5">
        <v>81444.61000000003</v>
      </c>
      <c r="F205" s="5">
        <v>73371.61</v>
      </c>
      <c r="G205" s="2">
        <v>14587.399999999996</v>
      </c>
      <c r="H205" s="2">
        <v>14587.4</v>
      </c>
    </row>
    <row r="206" spans="1:8">
      <c r="A206" t="s">
        <v>931</v>
      </c>
      <c r="B206" t="s">
        <v>179</v>
      </c>
      <c r="C206" s="1" t="s">
        <v>186</v>
      </c>
      <c r="D206" t="s">
        <v>1285</v>
      </c>
      <c r="E206" s="5">
        <v>1897074.5199999998</v>
      </c>
      <c r="F206" s="5">
        <v>1897074.5199999998</v>
      </c>
      <c r="G206" s="2">
        <v>583740</v>
      </c>
      <c r="H206" s="2">
        <v>583740</v>
      </c>
    </row>
    <row r="207" spans="1:8">
      <c r="A207" t="s">
        <v>932</v>
      </c>
      <c r="B207" t="s">
        <v>179</v>
      </c>
      <c r="C207" s="1" t="s">
        <v>178</v>
      </c>
      <c r="D207" t="s">
        <v>1285</v>
      </c>
      <c r="E207" s="5">
        <v>888705.01000000013</v>
      </c>
      <c r="F207" s="5">
        <v>880476.01</v>
      </c>
      <c r="G207" s="2">
        <v>36338.420000000006</v>
      </c>
      <c r="H207" s="2">
        <v>36338.42</v>
      </c>
    </row>
    <row r="208" spans="1:8">
      <c r="A208" t="s">
        <v>937</v>
      </c>
      <c r="B208" t="s">
        <v>98</v>
      </c>
      <c r="C208" s="1" t="s">
        <v>97</v>
      </c>
      <c r="D208" t="s">
        <v>1291</v>
      </c>
      <c r="E208" s="5">
        <v>638588.62999999989</v>
      </c>
      <c r="F208" s="5">
        <v>638588.63</v>
      </c>
      <c r="G208" s="2">
        <v>183565.37</v>
      </c>
      <c r="H208" s="2">
        <v>183565.36999999997</v>
      </c>
    </row>
    <row r="209" spans="1:8">
      <c r="A209" t="s">
        <v>938</v>
      </c>
      <c r="B209" t="s">
        <v>98</v>
      </c>
      <c r="C209" s="1" t="s">
        <v>395</v>
      </c>
      <c r="D209" t="s">
        <v>1291</v>
      </c>
      <c r="E209" s="5">
        <v>774000</v>
      </c>
      <c r="F209" s="5">
        <v>774000</v>
      </c>
      <c r="G209" s="2">
        <v>167471.70000000001</v>
      </c>
      <c r="H209" s="2">
        <v>167471.69999999998</v>
      </c>
    </row>
    <row r="210" spans="1:8">
      <c r="A210" t="s">
        <v>939</v>
      </c>
      <c r="B210" t="s">
        <v>98</v>
      </c>
      <c r="C210" s="1" t="s">
        <v>689</v>
      </c>
      <c r="D210" t="s">
        <v>1291</v>
      </c>
      <c r="E210" s="5">
        <v>20745</v>
      </c>
      <c r="F210" s="5">
        <v>20745</v>
      </c>
      <c r="G210" s="2">
        <v>76017</v>
      </c>
      <c r="H210" s="2">
        <v>76017</v>
      </c>
    </row>
    <row r="211" spans="1:8">
      <c r="A211" t="s">
        <v>940</v>
      </c>
      <c r="B211" t="s">
        <v>522</v>
      </c>
      <c r="C211" s="1" t="s">
        <v>521</v>
      </c>
      <c r="D211" t="s">
        <v>1439</v>
      </c>
      <c r="E211" s="5">
        <v>36600.5</v>
      </c>
      <c r="F211" s="5">
        <v>36600.499999999993</v>
      </c>
      <c r="G211" s="2">
        <v>165614.97</v>
      </c>
      <c r="H211" s="2">
        <v>165614.97</v>
      </c>
    </row>
    <row r="212" spans="1:8">
      <c r="A212" t="s">
        <v>941</v>
      </c>
      <c r="B212" t="s">
        <v>263</v>
      </c>
      <c r="C212" s="1" t="s">
        <v>262</v>
      </c>
      <c r="D212" t="s">
        <v>1294</v>
      </c>
      <c r="E212" s="5">
        <v>2705912</v>
      </c>
      <c r="F212" s="5">
        <v>2648730</v>
      </c>
      <c r="G212" s="2">
        <v>40115</v>
      </c>
      <c r="H212" s="2">
        <v>1897.8</v>
      </c>
    </row>
    <row r="213" spans="1:8">
      <c r="A213" t="s">
        <v>945</v>
      </c>
      <c r="B213" t="s">
        <v>198</v>
      </c>
      <c r="C213" s="1" t="s">
        <v>428</v>
      </c>
      <c r="D213" t="s">
        <v>1298</v>
      </c>
      <c r="E213" s="5">
        <v>229093.7</v>
      </c>
      <c r="F213" s="5">
        <v>229093.70000000004</v>
      </c>
      <c r="G213" s="2">
        <v>76547</v>
      </c>
      <c r="H213" s="2">
        <v>20497</v>
      </c>
    </row>
    <row r="214" spans="1:8">
      <c r="A214" t="s">
        <v>946</v>
      </c>
      <c r="B214" t="s">
        <v>204</v>
      </c>
      <c r="C214" s="1" t="s">
        <v>492</v>
      </c>
      <c r="D214" t="s">
        <v>1298</v>
      </c>
      <c r="E214" s="5">
        <v>164859.40000000002</v>
      </c>
      <c r="F214" s="5">
        <v>164859.39999999997</v>
      </c>
      <c r="G214" s="2">
        <v>52737</v>
      </c>
      <c r="H214" s="2">
        <v>4747.6499999999996</v>
      </c>
    </row>
    <row r="215" spans="1:8">
      <c r="A215" t="s">
        <v>947</v>
      </c>
      <c r="B215" t="s">
        <v>386</v>
      </c>
      <c r="C215" s="1" t="s">
        <v>437</v>
      </c>
      <c r="D215" t="s">
        <v>1298</v>
      </c>
      <c r="E215" s="5">
        <v>117191.00000000001</v>
      </c>
      <c r="F215" s="5">
        <v>117191</v>
      </c>
      <c r="G215" s="2">
        <v>1234236.1599999999</v>
      </c>
      <c r="H215" s="2">
        <v>540867.22</v>
      </c>
    </row>
    <row r="216" spans="1:8">
      <c r="A216" t="s">
        <v>949</v>
      </c>
      <c r="B216" t="s">
        <v>366</v>
      </c>
      <c r="C216" s="1" t="s">
        <v>365</v>
      </c>
      <c r="D216" t="s">
        <v>1298</v>
      </c>
      <c r="E216" s="5">
        <v>298446</v>
      </c>
      <c r="F216" s="5">
        <v>298446</v>
      </c>
      <c r="G216" s="2">
        <v>1853643.1400000001</v>
      </c>
      <c r="H216" s="2">
        <v>1842018.1400000001</v>
      </c>
    </row>
    <row r="217" spans="1:8">
      <c r="A217" t="s">
        <v>950</v>
      </c>
      <c r="B217" t="s">
        <v>198</v>
      </c>
      <c r="C217" s="1" t="s">
        <v>197</v>
      </c>
      <c r="D217" t="s">
        <v>1297</v>
      </c>
      <c r="E217" s="5">
        <v>469874.12</v>
      </c>
      <c r="F217" s="5">
        <v>469874.12</v>
      </c>
      <c r="G217" s="2">
        <v>53273.01</v>
      </c>
      <c r="H217" s="2">
        <v>20116.510000000002</v>
      </c>
    </row>
    <row r="218" spans="1:8">
      <c r="A218" t="s">
        <v>951</v>
      </c>
      <c r="B218" t="s">
        <v>204</v>
      </c>
      <c r="C218" s="1" t="s">
        <v>203</v>
      </c>
      <c r="D218" t="s">
        <v>1297</v>
      </c>
      <c r="E218" s="5">
        <v>481971.66</v>
      </c>
      <c r="F218" s="5">
        <v>481971.66000000003</v>
      </c>
      <c r="G218" s="2">
        <v>61942.09</v>
      </c>
      <c r="H218" s="2">
        <v>48984.6</v>
      </c>
    </row>
    <row r="219" spans="1:8">
      <c r="A219" t="s">
        <v>952</v>
      </c>
      <c r="B219" t="s">
        <v>196</v>
      </c>
      <c r="C219" s="1" t="s">
        <v>195</v>
      </c>
      <c r="D219" t="s">
        <v>1297</v>
      </c>
      <c r="E219" s="5">
        <v>515026.95</v>
      </c>
      <c r="F219" s="5">
        <v>515026.95</v>
      </c>
      <c r="G219" s="2">
        <v>56387.729999999996</v>
      </c>
      <c r="H219" s="2">
        <v>38007.61</v>
      </c>
    </row>
    <row r="220" spans="1:8">
      <c r="A220" t="s">
        <v>954</v>
      </c>
      <c r="B220" t="s">
        <v>200</v>
      </c>
      <c r="C220" s="1" t="s">
        <v>199</v>
      </c>
      <c r="D220" t="s">
        <v>1297</v>
      </c>
      <c r="E220" s="5">
        <v>165614.97</v>
      </c>
      <c r="F220" s="5">
        <v>165614.97</v>
      </c>
      <c r="G220" s="2">
        <v>1165522.8299999998</v>
      </c>
      <c r="H220" s="2">
        <v>1080507.45</v>
      </c>
    </row>
    <row r="221" spans="1:8">
      <c r="A221" t="s">
        <v>955</v>
      </c>
      <c r="B221" t="s">
        <v>202</v>
      </c>
      <c r="C221" s="1" t="s">
        <v>201</v>
      </c>
      <c r="D221" t="s">
        <v>1299</v>
      </c>
      <c r="E221" s="5">
        <v>604956.82999999996</v>
      </c>
      <c r="F221" s="5">
        <v>604956.83000000007</v>
      </c>
      <c r="G221" s="2">
        <v>50730.000000000007</v>
      </c>
      <c r="H221" s="2">
        <v>50730.000000000007</v>
      </c>
    </row>
    <row r="222" spans="1:8">
      <c r="A222" t="s">
        <v>956</v>
      </c>
      <c r="B222" t="s">
        <v>210</v>
      </c>
      <c r="C222" s="1" t="s">
        <v>209</v>
      </c>
      <c r="D222" t="s">
        <v>1299</v>
      </c>
      <c r="E222" s="5">
        <v>557721.81999999995</v>
      </c>
      <c r="F222" s="5">
        <v>557721.82000000007</v>
      </c>
      <c r="G222" s="2">
        <v>446504.82</v>
      </c>
      <c r="H222" s="2">
        <v>446504.82</v>
      </c>
    </row>
    <row r="223" spans="1:8">
      <c r="A223" t="s">
        <v>957</v>
      </c>
      <c r="B223" t="s">
        <v>386</v>
      </c>
      <c r="C223" s="1" t="s">
        <v>385</v>
      </c>
      <c r="D223" t="s">
        <v>1299</v>
      </c>
      <c r="E223" s="5">
        <v>583740</v>
      </c>
      <c r="F223" s="5">
        <v>583740</v>
      </c>
      <c r="G223" s="2">
        <v>243563.64</v>
      </c>
      <c r="H223" s="2">
        <v>215940.2</v>
      </c>
    </row>
    <row r="224" spans="1:8">
      <c r="A224" t="s">
        <v>958</v>
      </c>
      <c r="B224" t="s">
        <v>194</v>
      </c>
      <c r="C224" s="1" t="s">
        <v>193</v>
      </c>
      <c r="D224" t="s">
        <v>1299</v>
      </c>
      <c r="E224" s="5">
        <v>594602.98</v>
      </c>
      <c r="F224" s="5">
        <v>594602.98</v>
      </c>
      <c r="G224" s="2">
        <v>50730.000000000007</v>
      </c>
      <c r="H224" s="2">
        <v>50730</v>
      </c>
    </row>
    <row r="225" spans="1:8">
      <c r="A225" t="s">
        <v>961</v>
      </c>
      <c r="B225" t="s">
        <v>472</v>
      </c>
      <c r="C225" s="1" t="s">
        <v>471</v>
      </c>
      <c r="D225" t="s">
        <v>1299</v>
      </c>
      <c r="E225" s="5">
        <v>183565.36999999997</v>
      </c>
      <c r="F225" s="5">
        <v>183565.36999999997</v>
      </c>
      <c r="G225" s="2">
        <v>9435</v>
      </c>
      <c r="H225" s="2">
        <v>9435</v>
      </c>
    </row>
    <row r="226" spans="1:8">
      <c r="A226" t="s">
        <v>962</v>
      </c>
      <c r="B226" t="s">
        <v>503</v>
      </c>
      <c r="C226" s="1" t="s">
        <v>502</v>
      </c>
      <c r="D226" t="s">
        <v>1299</v>
      </c>
      <c r="E226" s="5">
        <v>167471.70000000001</v>
      </c>
      <c r="F226" s="5">
        <v>167471.69999999998</v>
      </c>
      <c r="G226" s="2">
        <v>98973.88</v>
      </c>
      <c r="H226" s="2">
        <v>98973.88</v>
      </c>
    </row>
    <row r="227" spans="1:8">
      <c r="A227" t="s">
        <v>963</v>
      </c>
      <c r="B227" t="s">
        <v>457</v>
      </c>
      <c r="C227" s="1" t="s">
        <v>456</v>
      </c>
      <c r="D227" t="s">
        <v>1299</v>
      </c>
      <c r="E227" s="5">
        <v>76017</v>
      </c>
      <c r="F227" s="5">
        <v>76017</v>
      </c>
      <c r="G227" s="2">
        <v>189015.67</v>
      </c>
      <c r="H227" s="2">
        <v>20590</v>
      </c>
    </row>
    <row r="228" spans="1:8">
      <c r="A228" t="s">
        <v>968</v>
      </c>
      <c r="B228" t="s">
        <v>389</v>
      </c>
      <c r="C228" s="1" t="s">
        <v>388</v>
      </c>
      <c r="D228" t="s">
        <v>1295</v>
      </c>
      <c r="E228" s="5">
        <v>552144</v>
      </c>
      <c r="F228" s="5">
        <v>546484</v>
      </c>
      <c r="G228" s="2">
        <v>124484.10999999999</v>
      </c>
      <c r="H228" s="2">
        <v>120049.51</v>
      </c>
    </row>
    <row r="229" spans="1:8">
      <c r="A229" t="s">
        <v>969</v>
      </c>
      <c r="B229" t="s">
        <v>361</v>
      </c>
      <c r="C229" s="1" t="s">
        <v>360</v>
      </c>
      <c r="D229" t="s">
        <v>1295</v>
      </c>
      <c r="E229" s="5">
        <v>95119</v>
      </c>
      <c r="F229" s="5">
        <v>90559</v>
      </c>
      <c r="G229" s="2">
        <v>108656.35</v>
      </c>
      <c r="H229" s="2">
        <v>108656.35</v>
      </c>
    </row>
    <row r="230" spans="1:8">
      <c r="A230" t="s">
        <v>970</v>
      </c>
      <c r="B230" t="s">
        <v>467</v>
      </c>
      <c r="C230" s="1" t="s">
        <v>466</v>
      </c>
      <c r="D230" t="s">
        <v>1295</v>
      </c>
      <c r="E230" s="5">
        <v>95119</v>
      </c>
      <c r="F230" s="5">
        <v>90559</v>
      </c>
      <c r="G230" s="2">
        <v>58372.37000000001</v>
      </c>
      <c r="H230" s="2">
        <v>58372.369999999995</v>
      </c>
    </row>
    <row r="231" spans="1:8">
      <c r="A231" t="s">
        <v>971</v>
      </c>
      <c r="B231" t="s">
        <v>444</v>
      </c>
      <c r="C231" s="1" t="s">
        <v>443</v>
      </c>
      <c r="D231" t="s">
        <v>1295</v>
      </c>
      <c r="E231" s="5">
        <v>29411</v>
      </c>
      <c r="F231" s="5">
        <v>29411</v>
      </c>
      <c r="G231" s="2">
        <v>750722.64999999991</v>
      </c>
      <c r="H231" s="2">
        <v>750722.64999999991</v>
      </c>
    </row>
    <row r="232" spans="1:8">
      <c r="A232" t="s">
        <v>972</v>
      </c>
      <c r="B232" t="s">
        <v>489</v>
      </c>
      <c r="C232" s="1" t="s">
        <v>488</v>
      </c>
      <c r="D232" t="s">
        <v>1295</v>
      </c>
      <c r="E232" s="5">
        <v>104225.41999999998</v>
      </c>
      <c r="F232" s="5">
        <v>99665.42</v>
      </c>
      <c r="G232" s="2">
        <v>37077.370000000003</v>
      </c>
      <c r="H232" s="2">
        <v>37077.370000000003</v>
      </c>
    </row>
    <row r="233" spans="1:8">
      <c r="A233" t="s">
        <v>973</v>
      </c>
      <c r="B233" t="s">
        <v>505</v>
      </c>
      <c r="C233" s="1" t="s">
        <v>504</v>
      </c>
      <c r="D233" t="s">
        <v>1295</v>
      </c>
      <c r="E233" s="5">
        <v>29788</v>
      </c>
      <c r="F233" s="5">
        <v>29788</v>
      </c>
      <c r="G233" s="2">
        <v>140267.37000000005</v>
      </c>
      <c r="H233" s="2">
        <v>140267.37</v>
      </c>
    </row>
    <row r="234" spans="1:8">
      <c r="A234" t="s">
        <v>974</v>
      </c>
      <c r="B234" t="s">
        <v>441</v>
      </c>
      <c r="C234" s="1" t="s">
        <v>440</v>
      </c>
      <c r="D234" t="s">
        <v>1295</v>
      </c>
      <c r="E234" s="5">
        <v>31147.4</v>
      </c>
      <c r="F234" s="5">
        <v>31147.4</v>
      </c>
      <c r="G234" s="2">
        <v>686760.3899999999</v>
      </c>
      <c r="H234" s="2">
        <v>686760.3899999999</v>
      </c>
    </row>
    <row r="235" spans="1:8">
      <c r="A235" t="s">
        <v>975</v>
      </c>
      <c r="B235" t="s">
        <v>198</v>
      </c>
      <c r="C235" s="1" t="s">
        <v>429</v>
      </c>
      <c r="D235" t="s">
        <v>1295</v>
      </c>
      <c r="E235" s="5">
        <v>78340.420000000013</v>
      </c>
      <c r="F235" s="5">
        <v>73780.42</v>
      </c>
      <c r="G235" s="2">
        <v>9435</v>
      </c>
      <c r="H235" s="2">
        <v>9435</v>
      </c>
    </row>
    <row r="236" spans="1:8">
      <c r="A236" t="s">
        <v>976</v>
      </c>
      <c r="B236" t="s">
        <v>435</v>
      </c>
      <c r="C236" s="1" t="s">
        <v>434</v>
      </c>
      <c r="D236" t="s">
        <v>1295</v>
      </c>
      <c r="E236" s="5">
        <v>196845.42000000004</v>
      </c>
      <c r="F236" s="5">
        <v>187985.42</v>
      </c>
      <c r="G236" s="2">
        <v>268791.1700000001</v>
      </c>
      <c r="H236" s="2">
        <v>268791.17000000004</v>
      </c>
    </row>
    <row r="237" spans="1:8">
      <c r="A237" t="s">
        <v>977</v>
      </c>
      <c r="B237" t="s">
        <v>397</v>
      </c>
      <c r="C237" s="1" t="s">
        <v>396</v>
      </c>
      <c r="D237" t="s">
        <v>1295</v>
      </c>
      <c r="E237" s="5">
        <v>36338.42</v>
      </c>
      <c r="F237" s="5">
        <v>36338.42</v>
      </c>
      <c r="G237" s="2">
        <v>132120.1</v>
      </c>
      <c r="H237" s="2">
        <v>132120.1</v>
      </c>
    </row>
    <row r="238" spans="1:8">
      <c r="A238" t="s">
        <v>978</v>
      </c>
      <c r="B238" t="s">
        <v>204</v>
      </c>
      <c r="C238" s="1" t="s">
        <v>513</v>
      </c>
      <c r="D238" t="s">
        <v>1295</v>
      </c>
      <c r="E238" s="5">
        <v>36338.42</v>
      </c>
      <c r="F238" s="5">
        <v>36338.42</v>
      </c>
      <c r="G238" s="2">
        <v>859589.01000000013</v>
      </c>
      <c r="H238" s="2">
        <v>859589.00999999989</v>
      </c>
    </row>
    <row r="239" spans="1:8">
      <c r="A239" t="s">
        <v>980</v>
      </c>
      <c r="B239" t="s">
        <v>196</v>
      </c>
      <c r="C239" s="1" t="s">
        <v>496</v>
      </c>
      <c r="D239" t="s">
        <v>1295</v>
      </c>
      <c r="E239" s="5">
        <v>36338.42</v>
      </c>
      <c r="F239" s="5">
        <v>36338.42</v>
      </c>
      <c r="G239" s="2">
        <v>104529.86</v>
      </c>
      <c r="H239" s="2">
        <v>104529.86</v>
      </c>
    </row>
    <row r="240" spans="1:8">
      <c r="A240" t="s">
        <v>981</v>
      </c>
      <c r="B240" t="s">
        <v>474</v>
      </c>
      <c r="C240" s="1" t="s">
        <v>473</v>
      </c>
      <c r="D240" t="s">
        <v>1295</v>
      </c>
      <c r="E240" s="5">
        <v>142175.42000000004</v>
      </c>
      <c r="F240" s="5">
        <v>137615.42000000001</v>
      </c>
      <c r="G240" s="2">
        <v>12970</v>
      </c>
      <c r="H240" s="2">
        <v>12970</v>
      </c>
    </row>
    <row r="241" spans="1:8">
      <c r="A241" t="s">
        <v>982</v>
      </c>
      <c r="B241" t="s">
        <v>202</v>
      </c>
      <c r="C241" s="1" t="s">
        <v>507</v>
      </c>
      <c r="D241" t="s">
        <v>1295</v>
      </c>
      <c r="E241" s="5">
        <v>36338.42</v>
      </c>
      <c r="F241" s="5">
        <v>36338.42</v>
      </c>
      <c r="G241" s="2">
        <v>94000</v>
      </c>
      <c r="H241" s="2">
        <v>94000</v>
      </c>
    </row>
    <row r="242" spans="1:8">
      <c r="A242" t="s">
        <v>983</v>
      </c>
      <c r="B242" t="s">
        <v>210</v>
      </c>
      <c r="C242" s="1" t="s">
        <v>632</v>
      </c>
      <c r="D242" t="s">
        <v>1295</v>
      </c>
      <c r="E242" s="5">
        <v>14587.4</v>
      </c>
      <c r="F242" s="5">
        <v>14587.4</v>
      </c>
      <c r="G242" s="2">
        <v>186240</v>
      </c>
      <c r="H242" s="2">
        <v>116240</v>
      </c>
    </row>
    <row r="243" spans="1:8">
      <c r="A243" t="s">
        <v>984</v>
      </c>
      <c r="B243" t="s">
        <v>386</v>
      </c>
      <c r="C243" s="1" t="s">
        <v>506</v>
      </c>
      <c r="D243" t="s">
        <v>1295</v>
      </c>
      <c r="E243" s="5">
        <v>36338.42</v>
      </c>
      <c r="F243" s="5">
        <v>36338.42</v>
      </c>
      <c r="G243" s="2">
        <v>404692</v>
      </c>
      <c r="H243" s="2">
        <v>0</v>
      </c>
    </row>
    <row r="244" spans="1:8">
      <c r="A244" t="s">
        <v>985</v>
      </c>
      <c r="B244" t="s">
        <v>366</v>
      </c>
      <c r="C244" s="1" t="s">
        <v>387</v>
      </c>
      <c r="D244" t="s">
        <v>1295</v>
      </c>
      <c r="E244" s="5">
        <v>62892.419999999984</v>
      </c>
      <c r="F244" s="5">
        <v>58332.42</v>
      </c>
      <c r="G244" s="2">
        <v>26554</v>
      </c>
      <c r="H244" s="2">
        <v>0</v>
      </c>
    </row>
    <row r="245" spans="1:8">
      <c r="A245" t="s">
        <v>987</v>
      </c>
      <c r="B245" t="s">
        <v>630</v>
      </c>
      <c r="C245" s="1" t="s">
        <v>629</v>
      </c>
      <c r="D245" t="s">
        <v>1303</v>
      </c>
      <c r="E245" s="5">
        <v>3119698.59</v>
      </c>
      <c r="F245" s="5">
        <v>2115479.59</v>
      </c>
      <c r="G245" s="2">
        <v>1478757.6399999997</v>
      </c>
      <c r="H245" s="2">
        <v>1107608.1600000001</v>
      </c>
    </row>
    <row r="246" spans="1:8">
      <c r="A246" t="s">
        <v>988</v>
      </c>
      <c r="B246" t="s">
        <v>284</v>
      </c>
      <c r="C246" s="1" t="s">
        <v>283</v>
      </c>
      <c r="D246" t="s">
        <v>1302</v>
      </c>
      <c r="E246" s="5">
        <v>80178.539999999994</v>
      </c>
      <c r="F246" s="5">
        <v>78019.540000000008</v>
      </c>
      <c r="G246" s="2">
        <v>72836.150000000009</v>
      </c>
      <c r="H246" s="2">
        <v>63985.15</v>
      </c>
    </row>
    <row r="247" spans="1:8">
      <c r="A247" t="s">
        <v>989</v>
      </c>
      <c r="B247" t="s">
        <v>618</v>
      </c>
      <c r="C247" s="1" t="s">
        <v>617</v>
      </c>
      <c r="D247" t="s">
        <v>1301</v>
      </c>
      <c r="E247" s="5">
        <v>23839</v>
      </c>
      <c r="F247" s="5">
        <v>21680</v>
      </c>
      <c r="G247" s="2">
        <v>110739.69</v>
      </c>
      <c r="H247" s="2">
        <v>99394.69</v>
      </c>
    </row>
    <row r="248" spans="1:8">
      <c r="A248" t="s">
        <v>990</v>
      </c>
      <c r="B248" t="s">
        <v>183</v>
      </c>
      <c r="C248" s="1" t="s">
        <v>182</v>
      </c>
      <c r="D248" t="s">
        <v>1304</v>
      </c>
      <c r="E248" s="5">
        <v>763420.59999999974</v>
      </c>
      <c r="F248" s="5">
        <v>763420.60000000009</v>
      </c>
      <c r="G248" s="2">
        <v>129750.08000000002</v>
      </c>
      <c r="H248" s="2">
        <v>119035.08</v>
      </c>
    </row>
    <row r="249" spans="1:8">
      <c r="A249" t="s">
        <v>991</v>
      </c>
      <c r="B249" t="s">
        <v>183</v>
      </c>
      <c r="C249" s="1" t="s">
        <v>422</v>
      </c>
      <c r="D249" t="s">
        <v>1304</v>
      </c>
      <c r="E249" s="5">
        <v>80928.639999999999</v>
      </c>
      <c r="F249" s="5">
        <v>79721.64</v>
      </c>
      <c r="G249" s="2">
        <v>21074</v>
      </c>
      <c r="H249" s="2">
        <v>21074</v>
      </c>
    </row>
    <row r="250" spans="1:8">
      <c r="A250" t="s">
        <v>993</v>
      </c>
      <c r="B250" t="s">
        <v>177</v>
      </c>
      <c r="C250" s="1" t="s">
        <v>398</v>
      </c>
      <c r="D250" t="s">
        <v>1305</v>
      </c>
      <c r="E250" s="5">
        <v>62766.66</v>
      </c>
      <c r="F250" s="5">
        <v>49433</v>
      </c>
      <c r="G250" s="2">
        <v>9243</v>
      </c>
      <c r="H250" s="2">
        <v>9243</v>
      </c>
    </row>
    <row r="251" spans="1:8">
      <c r="A251" t="s">
        <v>994</v>
      </c>
      <c r="B251" t="s">
        <v>177</v>
      </c>
      <c r="C251" s="1" t="s">
        <v>176</v>
      </c>
      <c r="D251" t="s">
        <v>1305</v>
      </c>
      <c r="E251" s="5">
        <v>1234236.1599999997</v>
      </c>
      <c r="F251" s="5">
        <v>1234236.1599999999</v>
      </c>
      <c r="G251" s="2">
        <v>3650</v>
      </c>
      <c r="H251" s="2">
        <v>3650</v>
      </c>
    </row>
    <row r="252" spans="1:8">
      <c r="A252" t="s">
        <v>995</v>
      </c>
      <c r="B252" t="s">
        <v>695</v>
      </c>
      <c r="C252" s="1" t="s">
        <v>694</v>
      </c>
      <c r="D252" t="s">
        <v>1306</v>
      </c>
      <c r="E252" s="5">
        <v>12158.520000000019</v>
      </c>
      <c r="F252" s="5">
        <v>12158.52</v>
      </c>
      <c r="G252" s="2">
        <v>899348.57000000007</v>
      </c>
      <c r="H252" s="2">
        <v>899348.57</v>
      </c>
    </row>
    <row r="253" spans="1:8">
      <c r="A253" t="s">
        <v>996</v>
      </c>
      <c r="B253" t="s">
        <v>241</v>
      </c>
      <c r="C253" s="1" t="s">
        <v>240</v>
      </c>
      <c r="D253" t="s">
        <v>1307</v>
      </c>
      <c r="E253" s="5">
        <v>1850260.53</v>
      </c>
      <c r="F253" s="5">
        <v>1850260.53</v>
      </c>
      <c r="G253" s="2">
        <v>37436.120000000003</v>
      </c>
      <c r="H253" s="2">
        <v>37436.120000000003</v>
      </c>
    </row>
    <row r="254" spans="1:8">
      <c r="A254" t="s">
        <v>997</v>
      </c>
      <c r="B254" t="s">
        <v>241</v>
      </c>
      <c r="C254" s="1" t="s">
        <v>528</v>
      </c>
      <c r="D254" t="s">
        <v>1307</v>
      </c>
      <c r="E254" s="5">
        <v>53273.01</v>
      </c>
      <c r="F254" s="5">
        <v>49395.94999999999</v>
      </c>
      <c r="G254" s="2">
        <v>2506581.58</v>
      </c>
      <c r="H254" s="2">
        <v>2418574.3200000003</v>
      </c>
    </row>
    <row r="255" spans="1:8">
      <c r="A255" t="s">
        <v>998</v>
      </c>
      <c r="B255" t="s">
        <v>241</v>
      </c>
      <c r="C255" s="1" t="s">
        <v>500</v>
      </c>
      <c r="D255" t="s">
        <v>1307</v>
      </c>
      <c r="E255" s="5">
        <v>67593.7</v>
      </c>
      <c r="F255" s="5">
        <v>67593.7</v>
      </c>
      <c r="G255" s="2">
        <v>44837.38</v>
      </c>
      <c r="H255" s="2">
        <v>44837.38</v>
      </c>
    </row>
    <row r="256" spans="1:8">
      <c r="A256" t="s">
        <v>999</v>
      </c>
      <c r="B256" t="s">
        <v>206</v>
      </c>
      <c r="C256" s="1" t="s">
        <v>205</v>
      </c>
      <c r="D256" t="s">
        <v>1309</v>
      </c>
      <c r="E256" s="5">
        <v>47611.25</v>
      </c>
      <c r="F256" s="5">
        <v>47611.25</v>
      </c>
      <c r="G256" s="2">
        <v>102080.88</v>
      </c>
      <c r="H256" s="2">
        <v>0</v>
      </c>
    </row>
    <row r="257" spans="1:8">
      <c r="A257" t="s">
        <v>1000</v>
      </c>
      <c r="B257" t="s">
        <v>188</v>
      </c>
      <c r="C257" s="1" t="s">
        <v>187</v>
      </c>
      <c r="D257" t="s">
        <v>1314</v>
      </c>
      <c r="E257" s="5">
        <v>47611.25</v>
      </c>
      <c r="F257" s="5">
        <v>47611.25</v>
      </c>
      <c r="G257" s="2">
        <v>35269.170000000006</v>
      </c>
      <c r="H257" s="2">
        <v>35269.17</v>
      </c>
    </row>
    <row r="258" spans="1:8">
      <c r="A258" t="s">
        <v>1001</v>
      </c>
      <c r="B258" t="s">
        <v>17</v>
      </c>
      <c r="C258" s="1" t="s">
        <v>16</v>
      </c>
      <c r="D258" t="s">
        <v>1310</v>
      </c>
      <c r="E258" s="5">
        <v>1165522.83</v>
      </c>
      <c r="F258" s="5">
        <v>1165522.8299999998</v>
      </c>
      <c r="G258" s="2">
        <v>20.49</v>
      </c>
      <c r="H258" s="2">
        <v>20.49</v>
      </c>
    </row>
    <row r="259" spans="1:8">
      <c r="A259" t="s">
        <v>1002</v>
      </c>
      <c r="B259" t="s">
        <v>7</v>
      </c>
      <c r="C259" s="1" t="s">
        <v>539</v>
      </c>
      <c r="D259" t="s">
        <v>1312</v>
      </c>
      <c r="E259" s="5">
        <v>446504.82</v>
      </c>
      <c r="F259" s="5">
        <v>446504.82</v>
      </c>
      <c r="G259" s="2">
        <v>3742800.2800000017</v>
      </c>
      <c r="H259" s="2">
        <v>3728029.2800000007</v>
      </c>
    </row>
    <row r="260" spans="1:8">
      <c r="A260" t="s">
        <v>1003</v>
      </c>
      <c r="B260" t="s">
        <v>7</v>
      </c>
      <c r="C260" s="1" t="s">
        <v>6</v>
      </c>
      <c r="D260" t="s">
        <v>1312</v>
      </c>
      <c r="E260" s="5">
        <v>215940.2</v>
      </c>
      <c r="F260" s="5">
        <v>215940.2</v>
      </c>
      <c r="G260" s="2">
        <v>2110154.5799999996</v>
      </c>
      <c r="H260" s="2">
        <v>2110154.58</v>
      </c>
    </row>
    <row r="261" spans="1:8">
      <c r="A261" t="s">
        <v>1004</v>
      </c>
      <c r="B261" t="s">
        <v>192</v>
      </c>
      <c r="C261" s="1" t="s">
        <v>191</v>
      </c>
      <c r="D261" t="s">
        <v>1311</v>
      </c>
      <c r="E261" s="5">
        <v>50730.000000000015</v>
      </c>
      <c r="F261" s="5">
        <v>50730</v>
      </c>
      <c r="G261" s="2">
        <v>651096.68999999971</v>
      </c>
      <c r="H261" s="2">
        <v>650718.76</v>
      </c>
    </row>
    <row r="262" spans="1:8">
      <c r="A262" t="s">
        <v>1005</v>
      </c>
      <c r="B262" t="s">
        <v>190</v>
      </c>
      <c r="C262" s="1" t="s">
        <v>189</v>
      </c>
      <c r="D262" t="s">
        <v>1313</v>
      </c>
      <c r="E262" s="5">
        <v>50730.000000000022</v>
      </c>
      <c r="F262" s="5">
        <v>50729.999999999993</v>
      </c>
      <c r="G262" s="2">
        <v>27751.869999999995</v>
      </c>
      <c r="H262" s="2">
        <v>27751.870000000003</v>
      </c>
    </row>
    <row r="263" spans="1:8">
      <c r="A263" t="s">
        <v>1006</v>
      </c>
      <c r="B263" t="s">
        <v>1</v>
      </c>
      <c r="C263" s="1" t="s">
        <v>0</v>
      </c>
      <c r="D263" t="s">
        <v>1315</v>
      </c>
      <c r="E263" s="5">
        <v>2729465.0899999994</v>
      </c>
      <c r="F263" s="5">
        <v>2724465.0900000008</v>
      </c>
      <c r="G263" s="2">
        <v>349294</v>
      </c>
      <c r="H263" s="2">
        <v>118785.90000000001</v>
      </c>
    </row>
    <row r="264" spans="1:8">
      <c r="A264" t="s">
        <v>1008</v>
      </c>
      <c r="B264" t="s">
        <v>9</v>
      </c>
      <c r="C264" s="1" t="s">
        <v>213</v>
      </c>
      <c r="D264" t="s">
        <v>1461</v>
      </c>
      <c r="E264" s="5">
        <v>268791.17000000004</v>
      </c>
      <c r="F264" s="5">
        <v>268791.17000000004</v>
      </c>
      <c r="G264" s="2">
        <v>37763.199999999997</v>
      </c>
      <c r="H264" s="2">
        <v>37763.199999999997</v>
      </c>
    </row>
    <row r="265" spans="1:8">
      <c r="A265" t="s">
        <v>1009</v>
      </c>
      <c r="B265" t="s">
        <v>9</v>
      </c>
      <c r="C265" s="1" t="s">
        <v>215</v>
      </c>
      <c r="D265" t="s">
        <v>1461</v>
      </c>
      <c r="E265" s="5">
        <v>132120.09999999998</v>
      </c>
      <c r="F265" s="5">
        <v>132120.1</v>
      </c>
      <c r="G265" s="2">
        <v>50217.590000000004</v>
      </c>
      <c r="H265" s="2">
        <v>45749.08</v>
      </c>
    </row>
    <row r="266" spans="1:8">
      <c r="A266" t="s">
        <v>1010</v>
      </c>
      <c r="B266" t="s">
        <v>9</v>
      </c>
      <c r="C266" s="1" t="s">
        <v>8</v>
      </c>
      <c r="D266" t="s">
        <v>1461</v>
      </c>
      <c r="E266" s="5">
        <v>859589.01000000013</v>
      </c>
      <c r="F266" s="5">
        <v>859589.00999999989</v>
      </c>
      <c r="G266" s="2">
        <v>35597</v>
      </c>
      <c r="H266" s="2">
        <v>35597</v>
      </c>
    </row>
    <row r="267" spans="1:8">
      <c r="A267" t="s">
        <v>1011</v>
      </c>
      <c r="B267" t="s">
        <v>9</v>
      </c>
      <c r="C267" s="1" t="s">
        <v>214</v>
      </c>
      <c r="D267" t="s">
        <v>1461</v>
      </c>
      <c r="E267" s="5">
        <v>57404.33</v>
      </c>
      <c r="F267" s="5">
        <v>57404.33</v>
      </c>
      <c r="G267" s="2">
        <v>28549</v>
      </c>
      <c r="H267" s="2">
        <v>28549</v>
      </c>
    </row>
    <row r="268" spans="1:8">
      <c r="A268" t="s">
        <v>1012</v>
      </c>
      <c r="B268" t="s">
        <v>9</v>
      </c>
      <c r="C268" s="1" t="s">
        <v>212</v>
      </c>
      <c r="D268" t="s">
        <v>1461</v>
      </c>
      <c r="E268" s="5">
        <v>104529.85999999999</v>
      </c>
      <c r="F268" s="5">
        <v>104529.85999999999</v>
      </c>
      <c r="G268" s="2">
        <v>1139993.3900000001</v>
      </c>
      <c r="H268" s="2">
        <v>1032919.2899999999</v>
      </c>
    </row>
    <row r="269" spans="1:8">
      <c r="A269" t="s">
        <v>1013</v>
      </c>
      <c r="B269" t="s">
        <v>9</v>
      </c>
      <c r="C269" s="1" t="s">
        <v>442</v>
      </c>
      <c r="D269" t="s">
        <v>1461</v>
      </c>
      <c r="E269" s="5">
        <v>12970</v>
      </c>
      <c r="F269" s="5">
        <v>12970</v>
      </c>
      <c r="G269" s="2">
        <v>979859.4</v>
      </c>
      <c r="H269" s="2">
        <v>979842.28000000014</v>
      </c>
    </row>
    <row r="270" spans="1:8">
      <c r="A270" t="s">
        <v>1014</v>
      </c>
      <c r="B270" t="s">
        <v>303</v>
      </c>
      <c r="C270" s="1" t="s">
        <v>317</v>
      </c>
      <c r="D270" t="s">
        <v>1329</v>
      </c>
      <c r="E270" s="5">
        <v>108656.35</v>
      </c>
      <c r="F270" s="5">
        <v>108656.35</v>
      </c>
      <c r="G270" s="2">
        <v>155111.31</v>
      </c>
      <c r="H270" s="2">
        <v>140538.17000000001</v>
      </c>
    </row>
    <row r="271" spans="1:8">
      <c r="A271" t="s">
        <v>1015</v>
      </c>
      <c r="B271" t="s">
        <v>303</v>
      </c>
      <c r="C271" s="1" t="s">
        <v>538</v>
      </c>
      <c r="D271" t="s">
        <v>1329</v>
      </c>
      <c r="E271" s="5">
        <v>58372.37</v>
      </c>
      <c r="F271" s="5">
        <v>58372.369999999995</v>
      </c>
      <c r="G271" s="2">
        <v>789472.88000000012</v>
      </c>
      <c r="H271" s="2">
        <v>501548.35000000009</v>
      </c>
    </row>
    <row r="272" spans="1:8">
      <c r="A272" t="s">
        <v>1016</v>
      </c>
      <c r="B272" t="s">
        <v>303</v>
      </c>
      <c r="C272" s="1" t="s">
        <v>308</v>
      </c>
      <c r="D272" t="s">
        <v>1329</v>
      </c>
      <c r="E272" s="5">
        <v>750722.64999999991</v>
      </c>
      <c r="F272" s="5">
        <v>750722.65</v>
      </c>
      <c r="G272" s="2">
        <v>312487.19999999995</v>
      </c>
      <c r="H272" s="2">
        <v>312487.2</v>
      </c>
    </row>
    <row r="273" spans="1:8">
      <c r="A273" t="s">
        <v>1017</v>
      </c>
      <c r="B273" t="s">
        <v>303</v>
      </c>
      <c r="C273" s="1" t="s">
        <v>309</v>
      </c>
      <c r="D273" t="s">
        <v>1329</v>
      </c>
      <c r="E273" s="5">
        <v>37077.370000000003</v>
      </c>
      <c r="F273" s="5">
        <v>37077.370000000003</v>
      </c>
      <c r="G273" s="2">
        <v>2634489.62</v>
      </c>
      <c r="H273" s="2">
        <v>1678865.91</v>
      </c>
    </row>
    <row r="274" spans="1:8">
      <c r="A274" t="s">
        <v>1018</v>
      </c>
      <c r="B274" t="s">
        <v>303</v>
      </c>
      <c r="C274" s="1" t="s">
        <v>312</v>
      </c>
      <c r="D274" t="s">
        <v>1329</v>
      </c>
      <c r="E274" s="5">
        <v>140267.37</v>
      </c>
      <c r="F274" s="5">
        <v>140267.37</v>
      </c>
      <c r="G274" s="2">
        <v>36993.15</v>
      </c>
      <c r="H274" s="2">
        <v>36993.15</v>
      </c>
    </row>
    <row r="275" spans="1:8">
      <c r="A275" t="s">
        <v>1019</v>
      </c>
      <c r="B275" t="s">
        <v>303</v>
      </c>
      <c r="C275" s="1" t="s">
        <v>302</v>
      </c>
      <c r="D275" t="s">
        <v>1329</v>
      </c>
      <c r="E275" s="5">
        <v>686760.3899999999</v>
      </c>
      <c r="F275" s="5">
        <v>686760.39000000013</v>
      </c>
      <c r="G275" s="2">
        <v>155949.57</v>
      </c>
      <c r="H275" s="2">
        <v>155949.57</v>
      </c>
    </row>
    <row r="276" spans="1:8">
      <c r="A276" t="s">
        <v>1020</v>
      </c>
      <c r="B276" t="s">
        <v>303</v>
      </c>
      <c r="C276" s="1" t="s">
        <v>609</v>
      </c>
      <c r="D276" t="s">
        <v>1329</v>
      </c>
      <c r="E276" s="5">
        <v>9435</v>
      </c>
      <c r="F276" s="5">
        <v>9435</v>
      </c>
      <c r="G276" s="2">
        <v>51981</v>
      </c>
      <c r="H276" s="2">
        <v>51981</v>
      </c>
    </row>
    <row r="277" spans="1:8">
      <c r="A277" t="s">
        <v>1021</v>
      </c>
      <c r="B277" t="s">
        <v>532</v>
      </c>
      <c r="C277" s="1" t="s">
        <v>534</v>
      </c>
      <c r="D277" t="s">
        <v>1460</v>
      </c>
      <c r="E277" s="5">
        <v>98973.88</v>
      </c>
      <c r="F277" s="5">
        <v>98973.88</v>
      </c>
      <c r="G277" s="2">
        <v>1483092.13</v>
      </c>
      <c r="H277" s="2">
        <v>1407104.5600000003</v>
      </c>
    </row>
    <row r="278" spans="1:8">
      <c r="A278" t="s">
        <v>1022</v>
      </c>
      <c r="B278" t="s">
        <v>532</v>
      </c>
      <c r="C278" s="1" t="s">
        <v>531</v>
      </c>
      <c r="D278" t="s">
        <v>1460</v>
      </c>
      <c r="E278" s="5">
        <v>186341.15000000005</v>
      </c>
      <c r="F278" s="5">
        <v>186341.15000000002</v>
      </c>
      <c r="G278" s="2">
        <v>378209</v>
      </c>
      <c r="H278" s="2">
        <v>341814.11</v>
      </c>
    </row>
    <row r="279" spans="1:8">
      <c r="A279" t="s">
        <v>1023</v>
      </c>
      <c r="B279" t="s">
        <v>532</v>
      </c>
      <c r="C279" s="1" t="s">
        <v>533</v>
      </c>
      <c r="D279" t="s">
        <v>1460</v>
      </c>
      <c r="E279" s="5">
        <v>998300.69000000006</v>
      </c>
      <c r="F279" s="5">
        <v>997582.1799999997</v>
      </c>
      <c r="G279" s="2">
        <v>11004.1</v>
      </c>
      <c r="H279" s="2">
        <v>11004.1</v>
      </c>
    </row>
    <row r="280" spans="1:8">
      <c r="A280" t="s">
        <v>1024</v>
      </c>
      <c r="B280" t="s">
        <v>532</v>
      </c>
      <c r="C280" s="1" t="s">
        <v>624</v>
      </c>
      <c r="D280" t="s">
        <v>1460</v>
      </c>
      <c r="E280" s="5">
        <v>68306.3</v>
      </c>
      <c r="F280" s="5">
        <v>68306.3</v>
      </c>
      <c r="G280" s="2">
        <v>276539.25</v>
      </c>
      <c r="H280" s="2">
        <v>276539.25</v>
      </c>
    </row>
    <row r="281" spans="1:8">
      <c r="A281" t="s">
        <v>1025</v>
      </c>
      <c r="B281" t="s">
        <v>532</v>
      </c>
      <c r="C281" s="1" t="s">
        <v>633</v>
      </c>
      <c r="D281" t="s">
        <v>1460</v>
      </c>
      <c r="E281" s="5">
        <v>27829.82</v>
      </c>
      <c r="F281" s="5">
        <v>27829.82</v>
      </c>
      <c r="G281" s="2">
        <v>67618</v>
      </c>
      <c r="H281" s="2">
        <v>38803.699999999997</v>
      </c>
    </row>
    <row r="282" spans="1:8">
      <c r="A282" t="s">
        <v>1026</v>
      </c>
      <c r="B282" t="s">
        <v>532</v>
      </c>
      <c r="C282" s="1" t="s">
        <v>634</v>
      </c>
      <c r="D282" t="s">
        <v>1460</v>
      </c>
      <c r="E282" s="5">
        <v>171435.45</v>
      </c>
      <c r="F282" s="5">
        <v>171435.45</v>
      </c>
      <c r="G282" s="2">
        <v>7744</v>
      </c>
      <c r="H282" s="2">
        <v>7744</v>
      </c>
    </row>
    <row r="283" spans="1:8">
      <c r="A283" t="s">
        <v>1027</v>
      </c>
      <c r="B283" t="s">
        <v>532</v>
      </c>
      <c r="C283" s="1" t="s">
        <v>635</v>
      </c>
      <c r="D283" t="s">
        <v>1460</v>
      </c>
      <c r="E283" s="5">
        <v>124484.11</v>
      </c>
      <c r="F283" s="5">
        <v>124484.11</v>
      </c>
      <c r="G283" s="2">
        <v>212199.28000000003</v>
      </c>
      <c r="H283" s="2">
        <v>212199.27999999997</v>
      </c>
    </row>
    <row r="284" spans="1:8">
      <c r="A284" t="s">
        <v>1030</v>
      </c>
      <c r="B284" t="s">
        <v>620</v>
      </c>
      <c r="C284" s="1" t="s">
        <v>619</v>
      </c>
      <c r="D284" t="s">
        <v>1316</v>
      </c>
      <c r="E284" s="5">
        <v>9435</v>
      </c>
      <c r="F284" s="5">
        <v>9435</v>
      </c>
      <c r="G284" s="2">
        <v>87130.240000000005</v>
      </c>
      <c r="H284" s="2">
        <v>70526.66</v>
      </c>
    </row>
    <row r="285" spans="1:8">
      <c r="A285" t="s">
        <v>1031</v>
      </c>
      <c r="B285" t="s">
        <v>673</v>
      </c>
      <c r="C285" s="1" t="s">
        <v>672</v>
      </c>
      <c r="D285" t="s">
        <v>1332</v>
      </c>
      <c r="E285" s="5">
        <v>94000</v>
      </c>
      <c r="F285" s="5">
        <v>94000</v>
      </c>
      <c r="G285" s="2">
        <v>47500</v>
      </c>
      <c r="H285" s="2">
        <v>47500</v>
      </c>
    </row>
    <row r="286" spans="1:8">
      <c r="A286" t="s">
        <v>1032</v>
      </c>
      <c r="B286" t="s">
        <v>341</v>
      </c>
      <c r="C286" s="1" t="s">
        <v>340</v>
      </c>
      <c r="D286" t="s">
        <v>1333</v>
      </c>
      <c r="E286" s="5">
        <v>186240</v>
      </c>
      <c r="F286" s="5">
        <v>139040</v>
      </c>
      <c r="G286" s="2">
        <v>2467500.0000000019</v>
      </c>
      <c r="H286" s="2">
        <v>2200979.5500000003</v>
      </c>
    </row>
    <row r="287" spans="1:8">
      <c r="A287" t="s">
        <v>1033</v>
      </c>
      <c r="B287" t="s">
        <v>288</v>
      </c>
      <c r="C287" s="1" t="s">
        <v>287</v>
      </c>
      <c r="D287" t="s">
        <v>1336</v>
      </c>
      <c r="E287" s="5">
        <v>1478633.2799999998</v>
      </c>
      <c r="F287" s="5">
        <v>1478633.2800000005</v>
      </c>
      <c r="G287" s="2">
        <v>179346.97999999998</v>
      </c>
      <c r="H287" s="2">
        <v>5247.54</v>
      </c>
    </row>
    <row r="288" spans="1:8">
      <c r="A288" t="s">
        <v>1034</v>
      </c>
      <c r="B288" t="s">
        <v>288</v>
      </c>
      <c r="C288" s="1" t="s">
        <v>458</v>
      </c>
      <c r="D288" t="s">
        <v>1336</v>
      </c>
      <c r="E288" s="5">
        <v>72836.149999999994</v>
      </c>
      <c r="F288" s="5">
        <v>63985.15</v>
      </c>
      <c r="G288" s="2">
        <v>86908.35000000002</v>
      </c>
      <c r="H288" s="2">
        <v>76959</v>
      </c>
    </row>
    <row r="289" spans="1:8">
      <c r="A289" t="s">
        <v>1035</v>
      </c>
      <c r="B289" t="s">
        <v>368</v>
      </c>
      <c r="C289" s="1" t="s">
        <v>465</v>
      </c>
      <c r="D289" t="s">
        <v>1334</v>
      </c>
      <c r="E289" s="5">
        <v>404692</v>
      </c>
      <c r="G289" s="2">
        <v>2036731.1600000001</v>
      </c>
      <c r="H289" s="2">
        <v>2006483.0799999998</v>
      </c>
    </row>
    <row r="290" spans="1:8">
      <c r="A290" t="s">
        <v>1036</v>
      </c>
      <c r="B290" t="s">
        <v>368</v>
      </c>
      <c r="C290" s="1" t="s">
        <v>367</v>
      </c>
      <c r="D290" t="s">
        <v>1334</v>
      </c>
      <c r="E290" s="5">
        <v>26554</v>
      </c>
      <c r="F290" s="5">
        <v>4492.5499999999993</v>
      </c>
      <c r="G290" s="2">
        <v>57086.61</v>
      </c>
      <c r="H290" s="2">
        <v>39028.61</v>
      </c>
    </row>
    <row r="291" spans="1:8">
      <c r="A291" t="s">
        <v>1037</v>
      </c>
      <c r="B291" t="s">
        <v>371</v>
      </c>
      <c r="C291" s="1" t="s">
        <v>370</v>
      </c>
      <c r="D291" t="s">
        <v>1335</v>
      </c>
      <c r="E291" s="5">
        <v>2235395.0699999998</v>
      </c>
      <c r="G291" s="2">
        <v>69086.610000000015</v>
      </c>
      <c r="H291" s="2">
        <v>63469.66</v>
      </c>
    </row>
    <row r="292" spans="1:8">
      <c r="A292" t="s">
        <v>1038</v>
      </c>
      <c r="B292" t="s">
        <v>453</v>
      </c>
      <c r="C292" s="1" t="s">
        <v>452</v>
      </c>
      <c r="D292" t="s">
        <v>1337</v>
      </c>
      <c r="E292" s="5">
        <v>110739.69</v>
      </c>
      <c r="F292" s="5">
        <v>99394.69</v>
      </c>
      <c r="G292" s="2">
        <v>691756.23999999976</v>
      </c>
      <c r="H292" s="2">
        <v>691756.24000000011</v>
      </c>
    </row>
    <row r="293" spans="1:8">
      <c r="A293" t="s">
        <v>1039</v>
      </c>
      <c r="B293" t="s">
        <v>439</v>
      </c>
      <c r="C293" s="1" t="s">
        <v>438</v>
      </c>
      <c r="D293" t="s">
        <v>1338</v>
      </c>
      <c r="E293" s="5">
        <v>129750.08000000002</v>
      </c>
      <c r="F293" s="5">
        <v>119035.08</v>
      </c>
      <c r="G293" s="2">
        <v>155715.64000000001</v>
      </c>
      <c r="H293" s="2">
        <v>26921.88</v>
      </c>
    </row>
    <row r="294" spans="1:8">
      <c r="A294" t="s">
        <v>1040</v>
      </c>
      <c r="B294" t="s">
        <v>233</v>
      </c>
      <c r="C294" s="1" t="s">
        <v>232</v>
      </c>
      <c r="D294" t="s">
        <v>1339</v>
      </c>
      <c r="E294" s="5">
        <v>21074</v>
      </c>
      <c r="F294" s="5">
        <v>21074</v>
      </c>
      <c r="G294" s="2">
        <v>57818.580000000009</v>
      </c>
      <c r="H294" s="2">
        <v>17655.75</v>
      </c>
    </row>
    <row r="295" spans="1:8">
      <c r="A295" t="s">
        <v>1041</v>
      </c>
      <c r="B295" t="s">
        <v>233</v>
      </c>
      <c r="C295" s="1" t="s">
        <v>236</v>
      </c>
      <c r="D295" t="s">
        <v>1339</v>
      </c>
      <c r="E295" s="5">
        <v>58551.999999999985</v>
      </c>
      <c r="F295" s="5">
        <v>58552</v>
      </c>
      <c r="G295" s="2">
        <v>52577</v>
      </c>
      <c r="H295" s="2">
        <v>11626.67</v>
      </c>
    </row>
    <row r="296" spans="1:8">
      <c r="A296" t="s">
        <v>1042</v>
      </c>
      <c r="B296" t="s">
        <v>233</v>
      </c>
      <c r="C296" s="1" t="s">
        <v>696</v>
      </c>
      <c r="D296" t="s">
        <v>1339</v>
      </c>
      <c r="E296" s="5">
        <v>9243</v>
      </c>
      <c r="F296" s="5">
        <v>9243</v>
      </c>
      <c r="G296" s="2">
        <v>49471</v>
      </c>
      <c r="H296" s="2">
        <v>17825.150000000001</v>
      </c>
    </row>
    <row r="297" spans="1:8">
      <c r="A297" t="s">
        <v>1043</v>
      </c>
      <c r="B297" t="s">
        <v>233</v>
      </c>
      <c r="C297" s="1" t="s">
        <v>235</v>
      </c>
      <c r="D297" t="s">
        <v>1339</v>
      </c>
      <c r="E297" s="5">
        <v>3650</v>
      </c>
      <c r="F297" s="5">
        <v>3650</v>
      </c>
      <c r="G297" s="2">
        <v>43930.329999999994</v>
      </c>
      <c r="H297" s="2">
        <v>43930.33</v>
      </c>
    </row>
    <row r="298" spans="1:8">
      <c r="A298" t="s">
        <v>1046</v>
      </c>
      <c r="B298" t="s">
        <v>62</v>
      </c>
      <c r="C298" s="1" t="s">
        <v>79</v>
      </c>
      <c r="D298" t="s">
        <v>1342</v>
      </c>
      <c r="E298" s="5">
        <v>2506581.5800000005</v>
      </c>
      <c r="F298" s="5">
        <v>2506581.5799999991</v>
      </c>
      <c r="G298" s="2">
        <v>234441</v>
      </c>
      <c r="H298" s="2">
        <v>223891</v>
      </c>
    </row>
    <row r="299" spans="1:8">
      <c r="A299" t="s">
        <v>1047</v>
      </c>
      <c r="B299" t="s">
        <v>62</v>
      </c>
      <c r="C299" s="1" t="s">
        <v>61</v>
      </c>
      <c r="D299" t="s">
        <v>1342</v>
      </c>
      <c r="E299" s="5">
        <v>44837.380000000005</v>
      </c>
      <c r="F299" s="5">
        <v>44837.380000000005</v>
      </c>
      <c r="G299" s="2">
        <v>83458</v>
      </c>
      <c r="H299" s="2">
        <v>83458.000000000015</v>
      </c>
    </row>
    <row r="300" spans="1:8">
      <c r="A300" t="s">
        <v>1048</v>
      </c>
      <c r="B300" t="s">
        <v>62</v>
      </c>
      <c r="C300" s="1" t="s">
        <v>651</v>
      </c>
      <c r="D300" t="s">
        <v>1342</v>
      </c>
      <c r="E300" s="5">
        <v>106724.54999999999</v>
      </c>
      <c r="F300" s="5">
        <v>106724.55</v>
      </c>
      <c r="G300" s="2">
        <v>8600</v>
      </c>
      <c r="H300" s="2">
        <v>8600</v>
      </c>
    </row>
    <row r="301" spans="1:8">
      <c r="A301" t="s">
        <v>1049</v>
      </c>
      <c r="B301" t="s">
        <v>43</v>
      </c>
      <c r="C301" s="1" t="s">
        <v>65</v>
      </c>
      <c r="D301" t="s">
        <v>1346</v>
      </c>
      <c r="E301" s="5">
        <v>27751.869999999995</v>
      </c>
      <c r="F301" s="5">
        <v>27751.870000000003</v>
      </c>
      <c r="G301" s="2">
        <v>31343</v>
      </c>
      <c r="H301" s="2">
        <v>0</v>
      </c>
    </row>
    <row r="302" spans="1:8">
      <c r="A302" t="s">
        <v>1050</v>
      </c>
      <c r="B302" t="s">
        <v>43</v>
      </c>
      <c r="C302" s="1" t="s">
        <v>42</v>
      </c>
      <c r="D302" t="s">
        <v>1345</v>
      </c>
      <c r="E302" s="5">
        <v>650860.85</v>
      </c>
      <c r="F302" s="5">
        <v>651096.68999999983</v>
      </c>
      <c r="G302" s="2">
        <v>248877.99999999988</v>
      </c>
      <c r="H302" s="2">
        <v>248763.7</v>
      </c>
    </row>
    <row r="303" spans="1:8">
      <c r="A303" t="s">
        <v>1051</v>
      </c>
      <c r="B303" t="s">
        <v>37</v>
      </c>
      <c r="C303" s="1" t="s">
        <v>36</v>
      </c>
      <c r="D303" t="s">
        <v>1341</v>
      </c>
      <c r="E303" s="5">
        <v>37436.120000000003</v>
      </c>
      <c r="F303" s="5">
        <v>37436.120000000003</v>
      </c>
      <c r="G303" s="2">
        <v>1517911</v>
      </c>
      <c r="H303" s="2">
        <v>1515463.6799999999</v>
      </c>
    </row>
    <row r="304" spans="1:8">
      <c r="A304" t="s">
        <v>1052</v>
      </c>
      <c r="B304" t="s">
        <v>37</v>
      </c>
      <c r="C304" s="1" t="s">
        <v>54</v>
      </c>
      <c r="D304" t="s">
        <v>1340</v>
      </c>
      <c r="E304" s="5">
        <v>899348.57000000007</v>
      </c>
      <c r="F304" s="5">
        <v>899348.57</v>
      </c>
      <c r="G304" s="2">
        <v>23019.999999999996</v>
      </c>
      <c r="H304" s="2">
        <v>23020</v>
      </c>
    </row>
    <row r="305" spans="1:8">
      <c r="A305" t="s">
        <v>1053</v>
      </c>
      <c r="B305" t="s">
        <v>711</v>
      </c>
      <c r="C305" s="1" t="s">
        <v>710</v>
      </c>
      <c r="D305" t="s">
        <v>1344</v>
      </c>
      <c r="E305" s="5">
        <v>20.49</v>
      </c>
      <c r="F305" s="5">
        <v>20.49</v>
      </c>
      <c r="G305" s="2">
        <v>222273.00000000006</v>
      </c>
      <c r="H305" s="2">
        <v>222273</v>
      </c>
    </row>
    <row r="306" spans="1:8">
      <c r="A306" t="s">
        <v>1054</v>
      </c>
      <c r="B306" t="s">
        <v>51</v>
      </c>
      <c r="C306" s="1" t="s">
        <v>50</v>
      </c>
      <c r="D306" t="s">
        <v>1344</v>
      </c>
      <c r="E306" s="5">
        <v>3742800.2800000017</v>
      </c>
      <c r="F306" s="5">
        <v>3728029.2800000003</v>
      </c>
      <c r="G306" s="2">
        <v>269732</v>
      </c>
      <c r="H306" s="2">
        <v>255098</v>
      </c>
    </row>
    <row r="307" spans="1:8">
      <c r="A307" t="s">
        <v>1055</v>
      </c>
      <c r="B307" t="s">
        <v>51</v>
      </c>
      <c r="C307" s="1" t="s">
        <v>323</v>
      </c>
      <c r="D307" t="s">
        <v>1344</v>
      </c>
      <c r="E307" s="5">
        <v>2110154.58</v>
      </c>
      <c r="F307" s="5">
        <v>2110154.58</v>
      </c>
      <c r="G307" s="2">
        <v>96686</v>
      </c>
      <c r="H307" s="2">
        <v>96685.999999999985</v>
      </c>
    </row>
    <row r="308" spans="1:8">
      <c r="A308" t="s">
        <v>1056</v>
      </c>
      <c r="B308" t="s">
        <v>53</v>
      </c>
      <c r="C308" s="1" t="s">
        <v>242</v>
      </c>
      <c r="D308" t="s">
        <v>1347</v>
      </c>
      <c r="E308" s="5">
        <v>352259.99000000005</v>
      </c>
      <c r="F308" s="5">
        <v>305792.20000000007</v>
      </c>
      <c r="G308" s="2">
        <v>25100</v>
      </c>
      <c r="H308" s="2">
        <v>25100</v>
      </c>
    </row>
    <row r="309" spans="1:8">
      <c r="A309" t="s">
        <v>1057</v>
      </c>
      <c r="B309" t="s">
        <v>53</v>
      </c>
      <c r="C309" s="1" t="s">
        <v>52</v>
      </c>
      <c r="D309" t="s">
        <v>1347</v>
      </c>
      <c r="E309" s="5">
        <v>33287.75</v>
      </c>
      <c r="F309" s="5">
        <v>33287.750000000007</v>
      </c>
      <c r="G309" s="2">
        <v>76035</v>
      </c>
      <c r="H309" s="2">
        <v>76035</v>
      </c>
    </row>
    <row r="310" spans="1:8">
      <c r="A310" t="s">
        <v>1058</v>
      </c>
      <c r="B310" t="s">
        <v>19</v>
      </c>
      <c r="C310" s="1" t="s">
        <v>18</v>
      </c>
      <c r="D310" t="s">
        <v>1343</v>
      </c>
      <c r="E310" s="5">
        <v>35269.17</v>
      </c>
      <c r="F310" s="5">
        <v>35269.170000000006</v>
      </c>
      <c r="G310" s="2">
        <v>6700</v>
      </c>
      <c r="H310" s="2">
        <v>6700</v>
      </c>
    </row>
    <row r="311" spans="1:8">
      <c r="A311" t="s">
        <v>1059</v>
      </c>
      <c r="B311" t="s">
        <v>31</v>
      </c>
      <c r="C311" s="1" t="s">
        <v>30</v>
      </c>
      <c r="D311" t="s">
        <v>1348</v>
      </c>
      <c r="E311" s="5">
        <v>37763.199999999997</v>
      </c>
      <c r="F311" s="5">
        <v>37763.200000000004</v>
      </c>
      <c r="G311" s="2">
        <v>31342</v>
      </c>
      <c r="H311" s="2">
        <v>0</v>
      </c>
    </row>
    <row r="312" spans="1:8">
      <c r="A312" t="s">
        <v>1060</v>
      </c>
      <c r="B312" t="s">
        <v>29</v>
      </c>
      <c r="C312" s="1" t="s">
        <v>70</v>
      </c>
      <c r="D312" t="s">
        <v>1357</v>
      </c>
      <c r="E312" s="5">
        <v>11004.1</v>
      </c>
      <c r="F312" s="5">
        <v>11004.099999999999</v>
      </c>
      <c r="G312" s="2">
        <v>25800</v>
      </c>
      <c r="H312" s="2">
        <v>22500</v>
      </c>
    </row>
    <row r="313" spans="1:8">
      <c r="A313" t="s">
        <v>1061</v>
      </c>
      <c r="B313" t="s">
        <v>29</v>
      </c>
      <c r="C313" s="1" t="s">
        <v>28</v>
      </c>
      <c r="D313" t="s">
        <v>1357</v>
      </c>
      <c r="E313" s="5">
        <v>276539.25</v>
      </c>
      <c r="F313" s="5">
        <v>276539.25000000006</v>
      </c>
      <c r="G313" s="2">
        <v>376551</v>
      </c>
      <c r="H313" s="2">
        <v>376551</v>
      </c>
    </row>
    <row r="314" spans="1:8">
      <c r="A314" t="s">
        <v>1063</v>
      </c>
      <c r="B314" t="s">
        <v>115</v>
      </c>
      <c r="C314" s="1" t="s">
        <v>114</v>
      </c>
      <c r="D314" t="s">
        <v>1359</v>
      </c>
      <c r="E314" s="5">
        <v>50715.909999999989</v>
      </c>
      <c r="F314" s="5">
        <v>50715.91</v>
      </c>
      <c r="G314" s="2">
        <v>257350</v>
      </c>
      <c r="H314" s="2">
        <v>257350</v>
      </c>
    </row>
    <row r="315" spans="1:8">
      <c r="A315" t="s">
        <v>1064</v>
      </c>
      <c r="B315" t="s">
        <v>117</v>
      </c>
      <c r="C315" s="1" t="s">
        <v>116</v>
      </c>
      <c r="D315" t="s">
        <v>1349</v>
      </c>
      <c r="E315" s="5">
        <v>50217.59</v>
      </c>
      <c r="F315" s="5">
        <v>50217.590000000004</v>
      </c>
      <c r="G315" s="2">
        <v>587130</v>
      </c>
      <c r="H315" s="2">
        <v>587130</v>
      </c>
    </row>
    <row r="316" spans="1:8">
      <c r="A316" t="s">
        <v>1065</v>
      </c>
      <c r="B316" t="s">
        <v>509</v>
      </c>
      <c r="C316" s="1" t="s">
        <v>508</v>
      </c>
      <c r="D316" t="s">
        <v>1355</v>
      </c>
      <c r="E316" s="5">
        <v>51981</v>
      </c>
      <c r="F316" s="5">
        <v>51981</v>
      </c>
      <c r="G316" s="2">
        <v>331010</v>
      </c>
      <c r="H316" s="2">
        <v>331010</v>
      </c>
    </row>
    <row r="317" spans="1:8">
      <c r="A317" t="s">
        <v>1066</v>
      </c>
      <c r="B317" t="s">
        <v>3</v>
      </c>
      <c r="C317" s="1" t="s">
        <v>2</v>
      </c>
      <c r="D317" t="s">
        <v>1350</v>
      </c>
      <c r="E317" s="5">
        <v>35597</v>
      </c>
      <c r="F317" s="5">
        <v>35597</v>
      </c>
      <c r="G317" s="2">
        <v>327428.00000000006</v>
      </c>
      <c r="H317" s="2">
        <v>327428</v>
      </c>
    </row>
    <row r="318" spans="1:8">
      <c r="A318" t="s">
        <v>1067</v>
      </c>
      <c r="B318" t="s">
        <v>3</v>
      </c>
      <c r="C318" s="1" t="s">
        <v>648</v>
      </c>
      <c r="D318" t="s">
        <v>1350</v>
      </c>
      <c r="E318" s="5">
        <v>28549</v>
      </c>
      <c r="F318" s="5">
        <v>28549</v>
      </c>
      <c r="G318" s="2">
        <v>48600</v>
      </c>
      <c r="H318" s="2">
        <v>48600</v>
      </c>
    </row>
    <row r="319" spans="1:8">
      <c r="A319" t="s">
        <v>1068</v>
      </c>
      <c r="B319" t="s">
        <v>85</v>
      </c>
      <c r="C319" s="1" t="s">
        <v>84</v>
      </c>
      <c r="D319" t="s">
        <v>1351</v>
      </c>
      <c r="E319" s="5">
        <v>1139993.3900000001</v>
      </c>
      <c r="F319" s="5">
        <v>1139993.3900000001</v>
      </c>
      <c r="G319" s="2">
        <v>67243.14</v>
      </c>
      <c r="H319" s="2">
        <v>67243.14</v>
      </c>
    </row>
    <row r="320" spans="1:8">
      <c r="A320" t="s">
        <v>1071</v>
      </c>
      <c r="B320" t="s">
        <v>85</v>
      </c>
      <c r="C320" s="1" t="s">
        <v>138</v>
      </c>
      <c r="D320" t="s">
        <v>1351</v>
      </c>
      <c r="E320" s="5">
        <v>979859.4</v>
      </c>
      <c r="F320" s="5">
        <v>979859.4</v>
      </c>
      <c r="G320" s="2">
        <v>71768</v>
      </c>
      <c r="H320" s="2">
        <v>71768</v>
      </c>
    </row>
    <row r="321" spans="1:8">
      <c r="A321" t="s">
        <v>1072</v>
      </c>
      <c r="B321" t="s">
        <v>85</v>
      </c>
      <c r="C321" s="1" t="s">
        <v>94</v>
      </c>
      <c r="D321" t="s">
        <v>1351</v>
      </c>
      <c r="E321" s="5">
        <v>147522.26</v>
      </c>
      <c r="F321" s="5">
        <v>147522.26</v>
      </c>
      <c r="G321" s="2">
        <v>191496.00000000003</v>
      </c>
      <c r="H321" s="2">
        <v>191495.99999999997</v>
      </c>
    </row>
    <row r="322" spans="1:8">
      <c r="A322" t="s">
        <v>1073</v>
      </c>
      <c r="B322" t="s">
        <v>85</v>
      </c>
      <c r="C322" s="1" t="s">
        <v>103</v>
      </c>
      <c r="D322" t="s">
        <v>1351</v>
      </c>
      <c r="E322" s="5">
        <v>780510.56</v>
      </c>
      <c r="F322" s="5">
        <v>780510.56</v>
      </c>
      <c r="G322" s="2">
        <v>134886</v>
      </c>
      <c r="H322" s="2">
        <v>134886</v>
      </c>
    </row>
    <row r="323" spans="1:8">
      <c r="A323" t="s">
        <v>1074</v>
      </c>
      <c r="B323" t="s">
        <v>113</v>
      </c>
      <c r="C323" s="1" t="s">
        <v>112</v>
      </c>
      <c r="D323" t="s">
        <v>1354</v>
      </c>
      <c r="E323" s="5">
        <v>155949.57</v>
      </c>
      <c r="F323" s="5">
        <v>155949.57</v>
      </c>
      <c r="G323" s="2">
        <v>282776</v>
      </c>
      <c r="H323" s="2">
        <v>282776</v>
      </c>
    </row>
    <row r="324" spans="1:8">
      <c r="A324" t="s">
        <v>1076</v>
      </c>
      <c r="B324" t="s">
        <v>462</v>
      </c>
      <c r="C324" s="1" t="s">
        <v>669</v>
      </c>
      <c r="D324" t="s">
        <v>1352</v>
      </c>
      <c r="E324" s="5">
        <v>312487.19999999995</v>
      </c>
      <c r="F324" s="5">
        <v>312487.2</v>
      </c>
      <c r="G324" s="2">
        <v>46559</v>
      </c>
      <c r="H324" s="2">
        <v>46218</v>
      </c>
    </row>
    <row r="325" spans="1:8">
      <c r="A325" t="s">
        <v>1078</v>
      </c>
      <c r="B325" t="s">
        <v>462</v>
      </c>
      <c r="C325" s="1" t="s">
        <v>497</v>
      </c>
      <c r="D325" t="s">
        <v>1352</v>
      </c>
      <c r="E325" s="5">
        <v>36993.149999999994</v>
      </c>
      <c r="F325" s="5">
        <v>36993.15</v>
      </c>
      <c r="G325" s="2">
        <v>659190</v>
      </c>
      <c r="H325" s="2">
        <v>659190</v>
      </c>
    </row>
    <row r="326" spans="1:8">
      <c r="A326" t="s">
        <v>1079</v>
      </c>
      <c r="B326" t="s">
        <v>427</v>
      </c>
      <c r="C326" s="1" t="s">
        <v>668</v>
      </c>
      <c r="D326" t="s">
        <v>1352</v>
      </c>
      <c r="E326" s="5">
        <v>212199.28000000003</v>
      </c>
      <c r="F326" s="5">
        <v>212199.27999999997</v>
      </c>
      <c r="G326" s="2">
        <v>35200</v>
      </c>
      <c r="H326" s="2">
        <v>35200</v>
      </c>
    </row>
    <row r="327" spans="1:8">
      <c r="A327" t="s">
        <v>1080</v>
      </c>
      <c r="B327" t="s">
        <v>427</v>
      </c>
      <c r="C327" s="1" t="s">
        <v>426</v>
      </c>
      <c r="D327" t="s">
        <v>1352</v>
      </c>
      <c r="E327" s="5">
        <v>36993.149999999994</v>
      </c>
      <c r="F327" s="5">
        <v>36993.15</v>
      </c>
      <c r="G327" s="2">
        <v>438739.99999999983</v>
      </c>
      <c r="H327" s="2">
        <v>438740</v>
      </c>
    </row>
    <row r="328" spans="1:8">
      <c r="A328" t="s">
        <v>1081</v>
      </c>
      <c r="B328" t="s">
        <v>462</v>
      </c>
      <c r="C328" s="1" t="s">
        <v>461</v>
      </c>
      <c r="D328" t="s">
        <v>1353</v>
      </c>
      <c r="E328" s="5">
        <v>2634489.6199999996</v>
      </c>
      <c r="F328" s="5">
        <v>2609324.62</v>
      </c>
      <c r="G328" s="2">
        <v>13429.999999999998</v>
      </c>
      <c r="H328" s="2">
        <v>13430</v>
      </c>
    </row>
    <row r="329" spans="1:8">
      <c r="A329" t="s">
        <v>1082</v>
      </c>
      <c r="B329" t="s">
        <v>267</v>
      </c>
      <c r="C329" s="1" t="s">
        <v>266</v>
      </c>
      <c r="D329" t="s">
        <v>1356</v>
      </c>
      <c r="E329" s="5">
        <v>1483092.13</v>
      </c>
      <c r="F329" s="5">
        <v>1483092.1300000004</v>
      </c>
      <c r="G329" s="2">
        <v>57660.000000000007</v>
      </c>
      <c r="H329" s="2">
        <v>57660</v>
      </c>
    </row>
    <row r="330" spans="1:8">
      <c r="A330" t="s">
        <v>1083</v>
      </c>
      <c r="B330" t="s">
        <v>267</v>
      </c>
      <c r="C330" s="1" t="s">
        <v>270</v>
      </c>
      <c r="D330" t="s">
        <v>1356</v>
      </c>
      <c r="E330" s="5">
        <v>378209</v>
      </c>
      <c r="F330" s="5">
        <v>378209</v>
      </c>
      <c r="G330" s="2">
        <v>16475</v>
      </c>
      <c r="H330" s="2">
        <v>16475</v>
      </c>
    </row>
    <row r="331" spans="1:8">
      <c r="A331" t="s">
        <v>1084</v>
      </c>
      <c r="B331" t="s">
        <v>265</v>
      </c>
      <c r="C331" s="1" t="s">
        <v>264</v>
      </c>
      <c r="D331" t="s">
        <v>1356</v>
      </c>
      <c r="E331" s="5">
        <v>67618</v>
      </c>
      <c r="F331" s="5">
        <v>67618</v>
      </c>
      <c r="G331" s="2">
        <v>152855</v>
      </c>
      <c r="H331" s="2">
        <v>152855.00000000003</v>
      </c>
    </row>
    <row r="332" spans="1:8">
      <c r="A332" t="s">
        <v>1085</v>
      </c>
      <c r="B332" t="s">
        <v>265</v>
      </c>
      <c r="C332" s="1" t="s">
        <v>268</v>
      </c>
      <c r="D332" t="s">
        <v>1356</v>
      </c>
      <c r="E332" s="5">
        <v>7744</v>
      </c>
      <c r="F332" s="5">
        <v>7744</v>
      </c>
      <c r="G332" s="2">
        <v>186702.99999999997</v>
      </c>
      <c r="H332" s="2">
        <v>185936.9</v>
      </c>
    </row>
    <row r="333" spans="1:8">
      <c r="A333" t="s">
        <v>1086</v>
      </c>
      <c r="B333" t="s">
        <v>464</v>
      </c>
      <c r="C333" s="1" t="s">
        <v>463</v>
      </c>
      <c r="D333" t="s">
        <v>1360</v>
      </c>
      <c r="E333" s="5">
        <v>70526.659999999989</v>
      </c>
      <c r="F333" s="5">
        <v>70526.66</v>
      </c>
      <c r="G333" s="2">
        <v>311428</v>
      </c>
      <c r="H333" s="2">
        <v>311428</v>
      </c>
    </row>
    <row r="334" spans="1:8">
      <c r="A334" t="s">
        <v>1087</v>
      </c>
      <c r="B334" t="s">
        <v>537</v>
      </c>
      <c r="C334" s="1" t="s">
        <v>536</v>
      </c>
      <c r="D334" t="s">
        <v>1360</v>
      </c>
      <c r="E334" s="5">
        <v>47500</v>
      </c>
      <c r="F334" s="5">
        <v>47500</v>
      </c>
      <c r="G334" s="2">
        <v>22150</v>
      </c>
      <c r="H334" s="2">
        <v>22150</v>
      </c>
    </row>
    <row r="335" spans="1:8">
      <c r="A335" t="s">
        <v>1088</v>
      </c>
      <c r="B335" t="s">
        <v>269</v>
      </c>
      <c r="C335" s="1" t="s">
        <v>516</v>
      </c>
      <c r="D335" t="s">
        <v>1360</v>
      </c>
      <c r="E335" s="5">
        <v>2200979.5500000007</v>
      </c>
      <c r="F335" s="5">
        <v>2200979.5500000003</v>
      </c>
      <c r="G335" s="2">
        <v>121488.15</v>
      </c>
      <c r="H335" s="2">
        <v>121488.15</v>
      </c>
    </row>
    <row r="336" spans="1:8">
      <c r="A336" t="s">
        <v>1090</v>
      </c>
      <c r="B336" t="s">
        <v>96</v>
      </c>
      <c r="C336" s="1" t="s">
        <v>95</v>
      </c>
      <c r="D336" t="s">
        <v>1157</v>
      </c>
      <c r="E336" s="5">
        <v>2993357.4499999997</v>
      </c>
      <c r="F336" s="5">
        <v>2993357.4500000007</v>
      </c>
      <c r="G336" s="2">
        <v>115778.33</v>
      </c>
      <c r="H336" s="2">
        <v>115778.33</v>
      </c>
    </row>
    <row r="337" spans="1:8">
      <c r="A337" t="s">
        <v>1092</v>
      </c>
      <c r="B337" t="s">
        <v>415</v>
      </c>
      <c r="C337" s="1" t="s">
        <v>549</v>
      </c>
      <c r="D337" t="s">
        <v>1361</v>
      </c>
      <c r="E337" s="5">
        <v>179346.98</v>
      </c>
      <c r="F337" s="5">
        <v>93450.220000000016</v>
      </c>
      <c r="G337" s="2">
        <v>45504.130000000005</v>
      </c>
      <c r="H337" s="2">
        <v>45504.13</v>
      </c>
    </row>
    <row r="338" spans="1:8">
      <c r="A338" t="s">
        <v>1093</v>
      </c>
      <c r="B338" t="s">
        <v>415</v>
      </c>
      <c r="C338" s="1" t="s">
        <v>414</v>
      </c>
      <c r="D338" t="s">
        <v>1361</v>
      </c>
      <c r="E338" s="5">
        <v>79348.350000000006</v>
      </c>
      <c r="F338" s="5">
        <v>76959</v>
      </c>
      <c r="G338" s="2">
        <v>228657.66</v>
      </c>
      <c r="H338" s="2">
        <v>228657.66000000003</v>
      </c>
    </row>
    <row r="339" spans="1:8">
      <c r="A339" t="s">
        <v>1094</v>
      </c>
      <c r="B339" t="s">
        <v>280</v>
      </c>
      <c r="C339" s="1" t="s">
        <v>279</v>
      </c>
      <c r="D339" t="s">
        <v>1363</v>
      </c>
      <c r="E339" s="5">
        <v>72212.75</v>
      </c>
      <c r="F339" s="5">
        <v>65156.409999999996</v>
      </c>
      <c r="G339" s="2">
        <v>160486.04</v>
      </c>
      <c r="H339" s="2">
        <v>160486.04</v>
      </c>
    </row>
    <row r="340" spans="1:8">
      <c r="A340" t="s">
        <v>1096</v>
      </c>
      <c r="B340" t="s">
        <v>129</v>
      </c>
      <c r="C340" s="1" t="s">
        <v>128</v>
      </c>
      <c r="D340" t="s">
        <v>1362</v>
      </c>
      <c r="E340" s="5">
        <v>2036731.1600000004</v>
      </c>
      <c r="F340" s="5">
        <v>2036731.16</v>
      </c>
      <c r="G340" s="2">
        <v>119347.83</v>
      </c>
      <c r="H340" s="2">
        <v>119347.83</v>
      </c>
    </row>
    <row r="341" spans="1:8">
      <c r="A341" t="s">
        <v>1097</v>
      </c>
      <c r="B341" t="s">
        <v>129</v>
      </c>
      <c r="C341" s="1" t="s">
        <v>470</v>
      </c>
      <c r="D341" t="s">
        <v>1362</v>
      </c>
      <c r="E341" s="5">
        <v>57086.61</v>
      </c>
      <c r="F341" s="5">
        <v>56103.61</v>
      </c>
      <c r="G341" s="2">
        <v>8915.35</v>
      </c>
      <c r="H341" s="2">
        <v>8915.3499999999985</v>
      </c>
    </row>
    <row r="342" spans="1:8">
      <c r="A342" t="s">
        <v>1099</v>
      </c>
      <c r="B342" t="s">
        <v>433</v>
      </c>
      <c r="C342" s="1" t="s">
        <v>432</v>
      </c>
      <c r="D342" t="s">
        <v>1364</v>
      </c>
      <c r="E342" s="5">
        <v>691756.24</v>
      </c>
      <c r="F342" s="5">
        <v>691756.24000000011</v>
      </c>
      <c r="G342" s="2">
        <v>327671.13</v>
      </c>
      <c r="H342" s="2">
        <v>327671.12999999995</v>
      </c>
    </row>
    <row r="343" spans="1:8">
      <c r="A343" t="s">
        <v>1100</v>
      </c>
      <c r="B343" t="s">
        <v>274</v>
      </c>
      <c r="C343" s="1" t="s">
        <v>273</v>
      </c>
      <c r="D343" t="s">
        <v>1365</v>
      </c>
      <c r="E343" s="5">
        <v>146425.94</v>
      </c>
      <c r="F343" s="5">
        <v>144266.94</v>
      </c>
      <c r="G343" s="2">
        <v>31261.18</v>
      </c>
      <c r="H343" s="2">
        <v>31261.18</v>
      </c>
    </row>
    <row r="344" spans="1:8">
      <c r="A344" t="s">
        <v>1101</v>
      </c>
      <c r="B344" t="s">
        <v>572</v>
      </c>
      <c r="C344" s="1" t="s">
        <v>571</v>
      </c>
      <c r="D344" t="s">
        <v>1366</v>
      </c>
      <c r="E344" s="5">
        <v>58004.579999999994</v>
      </c>
      <c r="F344" s="5">
        <v>57370.58</v>
      </c>
      <c r="G344" s="2">
        <v>172244.43</v>
      </c>
      <c r="H344" s="2">
        <v>172244.43</v>
      </c>
    </row>
    <row r="345" spans="1:8">
      <c r="A345" t="s">
        <v>1102</v>
      </c>
      <c r="B345" t="s">
        <v>577</v>
      </c>
      <c r="C345" s="1" t="s">
        <v>576</v>
      </c>
      <c r="D345" t="s">
        <v>1367</v>
      </c>
      <c r="E345" s="5">
        <v>76267.42</v>
      </c>
      <c r="F345" s="5">
        <v>63523.93</v>
      </c>
      <c r="G345" s="2">
        <v>156707</v>
      </c>
      <c r="H345" s="2">
        <v>156707</v>
      </c>
    </row>
    <row r="346" spans="1:8">
      <c r="A346" t="s">
        <v>1103</v>
      </c>
      <c r="B346" t="s">
        <v>606</v>
      </c>
      <c r="C346" s="1" t="s">
        <v>605</v>
      </c>
      <c r="D346" t="s">
        <v>1368</v>
      </c>
      <c r="E346" s="5">
        <v>64316.320000000007</v>
      </c>
      <c r="F346" s="5">
        <v>63682.320000000007</v>
      </c>
      <c r="G346" s="2">
        <v>607397</v>
      </c>
      <c r="H346" s="2">
        <v>607397</v>
      </c>
    </row>
    <row r="347" spans="1:8">
      <c r="A347" t="s">
        <v>1104</v>
      </c>
      <c r="B347" t="s">
        <v>665</v>
      </c>
      <c r="C347" s="1" t="s">
        <v>664</v>
      </c>
      <c r="D347" t="s">
        <v>1441</v>
      </c>
      <c r="E347" s="5">
        <v>43930.329999999994</v>
      </c>
      <c r="F347" s="5">
        <v>43930.33</v>
      </c>
      <c r="G347" s="2">
        <v>37050</v>
      </c>
      <c r="H347" s="2">
        <v>37050</v>
      </c>
    </row>
    <row r="348" spans="1:8">
      <c r="A348" t="s">
        <v>1105</v>
      </c>
      <c r="B348" t="s">
        <v>665</v>
      </c>
      <c r="C348" s="1" t="s">
        <v>680</v>
      </c>
      <c r="D348" t="s">
        <v>1441</v>
      </c>
      <c r="E348" s="5">
        <v>383917</v>
      </c>
      <c r="F348" s="5">
        <v>383917</v>
      </c>
      <c r="G348" s="2">
        <v>68390</v>
      </c>
      <c r="H348" s="2">
        <v>68390</v>
      </c>
    </row>
    <row r="349" spans="1:8">
      <c r="A349" t="s">
        <v>1106</v>
      </c>
      <c r="B349" t="s">
        <v>231</v>
      </c>
      <c r="C349" s="1" t="s">
        <v>239</v>
      </c>
      <c r="D349" t="s">
        <v>1380</v>
      </c>
      <c r="E349" s="5">
        <v>71768</v>
      </c>
      <c r="F349" s="5">
        <v>71768</v>
      </c>
      <c r="G349" s="2">
        <v>11879.999999999998</v>
      </c>
      <c r="H349" s="2">
        <v>11880</v>
      </c>
    </row>
    <row r="350" spans="1:8">
      <c r="A350" t="s">
        <v>1107</v>
      </c>
      <c r="B350" t="s">
        <v>231</v>
      </c>
      <c r="C350" s="1" t="s">
        <v>230</v>
      </c>
      <c r="D350" t="s">
        <v>1380</v>
      </c>
      <c r="E350" s="5">
        <v>191496.00000000006</v>
      </c>
      <c r="F350" s="5">
        <v>191496</v>
      </c>
      <c r="G350" s="2">
        <v>200000</v>
      </c>
      <c r="H350" s="2">
        <v>0</v>
      </c>
    </row>
    <row r="351" spans="1:8">
      <c r="A351" t="s">
        <v>1108</v>
      </c>
      <c r="B351" t="s">
        <v>231</v>
      </c>
      <c r="C351" s="1" t="s">
        <v>234</v>
      </c>
      <c r="D351" t="s">
        <v>1380</v>
      </c>
      <c r="E351" s="5">
        <v>134886</v>
      </c>
      <c r="F351" s="5">
        <v>134886</v>
      </c>
      <c r="G351" s="2">
        <v>677954.75</v>
      </c>
      <c r="H351" s="2">
        <v>677954.75</v>
      </c>
    </row>
    <row r="352" spans="1:8">
      <c r="A352" t="s">
        <v>1109</v>
      </c>
      <c r="B352" t="s">
        <v>231</v>
      </c>
      <c r="C352" s="1" t="s">
        <v>238</v>
      </c>
      <c r="D352" t="s">
        <v>1380</v>
      </c>
      <c r="E352" s="5">
        <v>282776</v>
      </c>
      <c r="F352" s="5">
        <v>282776</v>
      </c>
      <c r="G352" s="2">
        <v>1559001.33</v>
      </c>
      <c r="H352" s="2">
        <v>1559001.33</v>
      </c>
    </row>
    <row r="353" spans="1:8">
      <c r="A353" t="s">
        <v>1110</v>
      </c>
      <c r="B353" t="s">
        <v>231</v>
      </c>
      <c r="C353" s="1" t="s">
        <v>237</v>
      </c>
      <c r="D353" t="s">
        <v>1380</v>
      </c>
      <c r="E353" s="5">
        <v>22950</v>
      </c>
      <c r="F353" s="5">
        <v>22950</v>
      </c>
      <c r="G353" s="2">
        <v>406539.61</v>
      </c>
      <c r="H353" s="2">
        <v>406539.61000000004</v>
      </c>
    </row>
    <row r="354" spans="1:8">
      <c r="A354" t="s">
        <v>1111</v>
      </c>
      <c r="B354" t="s">
        <v>119</v>
      </c>
      <c r="C354" s="1" t="s">
        <v>246</v>
      </c>
      <c r="D354" t="s">
        <v>1386</v>
      </c>
      <c r="E354" s="5">
        <v>152855</v>
      </c>
      <c r="F354" s="5">
        <v>152855</v>
      </c>
      <c r="G354" s="2">
        <v>2481472.12</v>
      </c>
      <c r="H354" s="2">
        <v>215115.81</v>
      </c>
    </row>
    <row r="355" spans="1:8">
      <c r="A355" t="s">
        <v>1112</v>
      </c>
      <c r="B355" t="s">
        <v>119</v>
      </c>
      <c r="C355" s="1" t="s">
        <v>333</v>
      </c>
      <c r="D355" t="s">
        <v>1386</v>
      </c>
      <c r="E355" s="5">
        <v>186702.99999999997</v>
      </c>
      <c r="F355" s="5">
        <v>186703.00000000003</v>
      </c>
      <c r="G355" s="2">
        <v>1169159.3999999999</v>
      </c>
      <c r="H355" s="2">
        <v>863912.47000000009</v>
      </c>
    </row>
    <row r="356" spans="1:8">
      <c r="A356" t="s">
        <v>1113</v>
      </c>
      <c r="B356" t="s">
        <v>119</v>
      </c>
      <c r="C356" s="1" t="s">
        <v>118</v>
      </c>
      <c r="D356" t="s">
        <v>1386</v>
      </c>
      <c r="E356" s="5">
        <v>311428</v>
      </c>
      <c r="F356" s="5">
        <v>311428</v>
      </c>
      <c r="G356" s="2">
        <v>36660</v>
      </c>
      <c r="H356" s="2">
        <v>0</v>
      </c>
    </row>
    <row r="357" spans="1:8">
      <c r="A357" t="s">
        <v>1114</v>
      </c>
      <c r="B357" t="s">
        <v>119</v>
      </c>
      <c r="C357" s="1" t="s">
        <v>640</v>
      </c>
      <c r="D357" t="s">
        <v>1386</v>
      </c>
      <c r="E357" s="5">
        <v>22149.999999999996</v>
      </c>
      <c r="F357" s="5">
        <v>22150</v>
      </c>
      <c r="G357" s="2">
        <v>92080</v>
      </c>
      <c r="H357" s="2">
        <v>0</v>
      </c>
    </row>
    <row r="358" spans="1:8">
      <c r="A358" t="s">
        <v>1115</v>
      </c>
      <c r="B358" t="s">
        <v>660</v>
      </c>
      <c r="C358" s="1" t="s">
        <v>661</v>
      </c>
      <c r="D358" t="s">
        <v>1443</v>
      </c>
      <c r="E358" s="5">
        <v>67243.140000000029</v>
      </c>
      <c r="F358" s="5">
        <v>67243.14</v>
      </c>
      <c r="G358" s="2">
        <v>706550.74</v>
      </c>
      <c r="H358" s="2">
        <v>706550.74</v>
      </c>
    </row>
    <row r="359" spans="1:8">
      <c r="A359" t="s">
        <v>1116</v>
      </c>
      <c r="B359" t="s">
        <v>660</v>
      </c>
      <c r="C359" s="1" t="s">
        <v>662</v>
      </c>
      <c r="D359" t="s">
        <v>1443</v>
      </c>
      <c r="E359" s="5">
        <v>217046.72</v>
      </c>
      <c r="F359" s="5">
        <v>217046.72000000003</v>
      </c>
      <c r="G359" s="2">
        <v>75812.479999999996</v>
      </c>
      <c r="H359" s="2">
        <v>58264.669999999991</v>
      </c>
    </row>
    <row r="360" spans="1:8">
      <c r="A360" t="s">
        <v>1117</v>
      </c>
      <c r="B360" t="s">
        <v>660</v>
      </c>
      <c r="C360" s="1" t="s">
        <v>659</v>
      </c>
      <c r="D360" t="s">
        <v>1443</v>
      </c>
      <c r="E360" s="5">
        <v>428074.20999999996</v>
      </c>
      <c r="F360" s="5">
        <v>428074.21</v>
      </c>
      <c r="G360" s="2">
        <v>94630.94</v>
      </c>
      <c r="H360" s="2">
        <v>94536.37</v>
      </c>
    </row>
    <row r="361" spans="1:8">
      <c r="A361" t="s">
        <v>1118</v>
      </c>
      <c r="B361" t="s">
        <v>105</v>
      </c>
      <c r="C361" s="1" t="s">
        <v>332</v>
      </c>
      <c r="D361" t="s">
        <v>1375</v>
      </c>
      <c r="E361" s="5">
        <v>25800.000000000004</v>
      </c>
      <c r="F361" s="5">
        <v>25800</v>
      </c>
      <c r="G361" s="2">
        <v>51289.119999999995</v>
      </c>
      <c r="H361" s="2">
        <v>44634.96</v>
      </c>
    </row>
    <row r="362" spans="1:8">
      <c r="A362" t="s">
        <v>1119</v>
      </c>
      <c r="B362" t="s">
        <v>105</v>
      </c>
      <c r="C362" s="1" t="s">
        <v>104</v>
      </c>
      <c r="D362" t="s">
        <v>1375</v>
      </c>
      <c r="E362" s="5">
        <v>376551</v>
      </c>
      <c r="F362" s="5">
        <v>376551</v>
      </c>
      <c r="G362" s="2">
        <v>84956.160000000003</v>
      </c>
      <c r="H362" s="2">
        <v>76534.819999999992</v>
      </c>
    </row>
    <row r="363" spans="1:8">
      <c r="A363" t="s">
        <v>1120</v>
      </c>
      <c r="B363" t="s">
        <v>105</v>
      </c>
      <c r="C363" s="1" t="s">
        <v>642</v>
      </c>
      <c r="D363" t="s">
        <v>1375</v>
      </c>
      <c r="E363" s="5">
        <v>12150</v>
      </c>
      <c r="F363" s="5">
        <v>12150</v>
      </c>
      <c r="G363" s="2">
        <v>40048.370000000003</v>
      </c>
      <c r="H363" s="2">
        <v>40048.369999999995</v>
      </c>
    </row>
    <row r="364" spans="1:8">
      <c r="A364" t="s">
        <v>1121</v>
      </c>
      <c r="B364" t="s">
        <v>161</v>
      </c>
      <c r="C364" s="1" t="s">
        <v>168</v>
      </c>
      <c r="D364" t="s">
        <v>1387</v>
      </c>
      <c r="E364" s="5">
        <v>121488.15</v>
      </c>
      <c r="F364" s="5">
        <v>121488.15</v>
      </c>
      <c r="G364" s="2">
        <v>232363</v>
      </c>
      <c r="H364" s="2">
        <v>206328.49</v>
      </c>
    </row>
    <row r="365" spans="1:8">
      <c r="A365" t="s">
        <v>1122</v>
      </c>
      <c r="B365" t="s">
        <v>161</v>
      </c>
      <c r="C365" s="1" t="s">
        <v>160</v>
      </c>
      <c r="D365" t="s">
        <v>1387</v>
      </c>
      <c r="E365" s="5">
        <v>17669.190000000002</v>
      </c>
      <c r="F365" s="5">
        <v>17669.189999999999</v>
      </c>
      <c r="G365" s="2">
        <v>336867</v>
      </c>
      <c r="H365" s="2">
        <v>319990</v>
      </c>
    </row>
    <row r="366" spans="1:8">
      <c r="A366" t="s">
        <v>1123</v>
      </c>
      <c r="B366" t="s">
        <v>148</v>
      </c>
      <c r="C366" s="1" t="s">
        <v>147</v>
      </c>
      <c r="D366" t="s">
        <v>1387</v>
      </c>
      <c r="E366" s="5">
        <v>115778.33</v>
      </c>
      <c r="F366" s="5">
        <v>115778.33</v>
      </c>
      <c r="G366" s="2">
        <v>52713.919999999998</v>
      </c>
      <c r="H366" s="2">
        <v>52713.920000000006</v>
      </c>
    </row>
    <row r="367" spans="1:8">
      <c r="A367" t="s">
        <v>1124</v>
      </c>
      <c r="B367" t="s">
        <v>148</v>
      </c>
      <c r="C367" s="1" t="s">
        <v>166</v>
      </c>
      <c r="D367" t="s">
        <v>1387</v>
      </c>
      <c r="E367" s="5">
        <v>22751.119999999995</v>
      </c>
      <c r="F367" s="5">
        <v>22751.119999999999</v>
      </c>
      <c r="G367" s="2">
        <v>59025.32</v>
      </c>
      <c r="H367" s="2">
        <v>59025.32</v>
      </c>
    </row>
    <row r="368" spans="1:8">
      <c r="A368" t="s">
        <v>1125</v>
      </c>
      <c r="B368" t="s">
        <v>157</v>
      </c>
      <c r="C368" s="1" t="s">
        <v>173</v>
      </c>
      <c r="D368" t="s">
        <v>1387</v>
      </c>
      <c r="E368" s="5">
        <v>45504.12999999999</v>
      </c>
      <c r="F368" s="5">
        <v>45504.130000000005</v>
      </c>
      <c r="G368" s="2">
        <v>775920.48999999976</v>
      </c>
      <c r="H368" s="2">
        <v>775920.49</v>
      </c>
    </row>
    <row r="369" spans="1:8">
      <c r="A369" t="s">
        <v>1126</v>
      </c>
      <c r="B369" t="s">
        <v>157</v>
      </c>
      <c r="C369" s="1" t="s">
        <v>156</v>
      </c>
      <c r="D369" t="s">
        <v>1387</v>
      </c>
      <c r="E369" s="5">
        <v>228657.66</v>
      </c>
      <c r="F369" s="5">
        <v>228657.66</v>
      </c>
      <c r="G369" s="2">
        <v>427083.32999999996</v>
      </c>
      <c r="H369" s="2">
        <v>377420.76000000007</v>
      </c>
    </row>
    <row r="370" spans="1:8">
      <c r="A370" t="s">
        <v>1127</v>
      </c>
      <c r="B370" t="s">
        <v>146</v>
      </c>
      <c r="C370" s="1" t="s">
        <v>167</v>
      </c>
      <c r="D370" t="s">
        <v>1387</v>
      </c>
      <c r="E370" s="5">
        <v>160486.03999999995</v>
      </c>
      <c r="F370" s="5">
        <v>160486.03999999998</v>
      </c>
      <c r="G370" s="2">
        <v>42894.029999999992</v>
      </c>
      <c r="H370" s="2">
        <v>42894.030000000006</v>
      </c>
    </row>
    <row r="371" spans="1:8">
      <c r="A371" t="s">
        <v>1128</v>
      </c>
      <c r="B371" t="s">
        <v>146</v>
      </c>
      <c r="C371" s="1" t="s">
        <v>145</v>
      </c>
      <c r="D371" t="s">
        <v>1387</v>
      </c>
      <c r="E371" s="5">
        <v>23083.809999999998</v>
      </c>
      <c r="F371" s="5">
        <v>23083.81</v>
      </c>
      <c r="G371" s="2">
        <v>32401.3</v>
      </c>
      <c r="H371" s="2">
        <v>32401.3</v>
      </c>
    </row>
    <row r="372" spans="1:8">
      <c r="A372" t="s">
        <v>1129</v>
      </c>
      <c r="B372" t="s">
        <v>152</v>
      </c>
      <c r="C372" s="1" t="s">
        <v>162</v>
      </c>
      <c r="D372" t="s">
        <v>1387</v>
      </c>
      <c r="E372" s="5">
        <v>119347.82999999999</v>
      </c>
      <c r="F372" s="5">
        <v>119347.83</v>
      </c>
      <c r="G372" s="2">
        <v>76986</v>
      </c>
      <c r="H372" s="2">
        <v>44280</v>
      </c>
    </row>
    <row r="373" spans="1:8">
      <c r="A373" t="s">
        <v>1130</v>
      </c>
      <c r="B373" t="s">
        <v>152</v>
      </c>
      <c r="C373" s="1" t="s">
        <v>151</v>
      </c>
      <c r="D373" t="s">
        <v>1387</v>
      </c>
      <c r="E373" s="5">
        <v>8915.3500000000022</v>
      </c>
      <c r="F373" s="5">
        <v>8915.35</v>
      </c>
      <c r="G373" s="2">
        <v>119449.45000000001</v>
      </c>
      <c r="H373" s="2">
        <v>107529.45</v>
      </c>
    </row>
    <row r="374" spans="1:8">
      <c r="A374" t="s">
        <v>1131</v>
      </c>
      <c r="B374" t="s">
        <v>159</v>
      </c>
      <c r="C374" s="1" t="s">
        <v>165</v>
      </c>
      <c r="D374" t="s">
        <v>1387</v>
      </c>
      <c r="E374" s="5">
        <v>53629.540000000008</v>
      </c>
      <c r="F374" s="5">
        <v>53629.539999999994</v>
      </c>
      <c r="G374" s="2">
        <v>34920.699999999997</v>
      </c>
      <c r="H374" s="2">
        <v>34920.699999999997</v>
      </c>
    </row>
    <row r="375" spans="1:8">
      <c r="A375" t="s">
        <v>1132</v>
      </c>
      <c r="B375" t="s">
        <v>159</v>
      </c>
      <c r="C375" s="1" t="s">
        <v>158</v>
      </c>
      <c r="D375" t="s">
        <v>1387</v>
      </c>
      <c r="E375" s="5">
        <v>327671.13</v>
      </c>
      <c r="F375" s="5">
        <v>327671.13</v>
      </c>
      <c r="G375" s="2">
        <v>70873.119999999995</v>
      </c>
      <c r="H375" s="2">
        <v>70873.119999999995</v>
      </c>
    </row>
    <row r="376" spans="1:8">
      <c r="A376" t="s">
        <v>1133</v>
      </c>
      <c r="B376" t="s">
        <v>154</v>
      </c>
      <c r="C376" s="1" t="s">
        <v>153</v>
      </c>
      <c r="D376" t="s">
        <v>1387</v>
      </c>
      <c r="E376" s="5">
        <v>31261.180000000004</v>
      </c>
      <c r="F376" s="5">
        <v>31261.179999999997</v>
      </c>
      <c r="G376" s="2">
        <v>42162.78</v>
      </c>
      <c r="H376" s="2">
        <v>42162.780000000006</v>
      </c>
    </row>
    <row r="377" spans="1:8">
      <c r="A377" t="s">
        <v>1134</v>
      </c>
      <c r="B377" t="s">
        <v>154</v>
      </c>
      <c r="C377" s="1" t="s">
        <v>155</v>
      </c>
      <c r="D377" t="s">
        <v>1387</v>
      </c>
      <c r="E377" s="5">
        <v>172244.42999999996</v>
      </c>
      <c r="F377" s="5">
        <v>172244.43</v>
      </c>
      <c r="G377" s="2">
        <v>31354.28</v>
      </c>
      <c r="H377" s="2">
        <v>31354.28</v>
      </c>
    </row>
    <row r="378" spans="1:8">
      <c r="A378" t="s">
        <v>1135</v>
      </c>
      <c r="B378" t="s">
        <v>208</v>
      </c>
      <c r="C378" s="1" t="s">
        <v>207</v>
      </c>
      <c r="D378" t="s">
        <v>1442</v>
      </c>
      <c r="E378" s="5">
        <v>1479140.73</v>
      </c>
      <c r="F378" s="5">
        <v>1479140.73</v>
      </c>
      <c r="G378" s="2">
        <v>162806.08999999997</v>
      </c>
      <c r="H378" s="2">
        <v>155016.57999999999</v>
      </c>
    </row>
    <row r="379" spans="1:8">
      <c r="A379" t="s">
        <v>1136</v>
      </c>
      <c r="B379" t="s">
        <v>208</v>
      </c>
      <c r="C379" s="1" t="s">
        <v>487</v>
      </c>
      <c r="D379" t="s">
        <v>1442</v>
      </c>
      <c r="E379" s="5">
        <v>234441.00000000003</v>
      </c>
      <c r="F379" s="5">
        <v>234441</v>
      </c>
      <c r="G379" s="2">
        <v>41531.300000000003</v>
      </c>
      <c r="H379" s="2">
        <v>41531.299999999996</v>
      </c>
    </row>
    <row r="380" spans="1:8">
      <c r="A380" t="s">
        <v>1137</v>
      </c>
      <c r="B380" t="s">
        <v>208</v>
      </c>
      <c r="C380" s="1" t="s">
        <v>512</v>
      </c>
      <c r="D380" t="s">
        <v>1442</v>
      </c>
      <c r="E380" s="5">
        <v>83458</v>
      </c>
      <c r="F380" s="5">
        <v>83458.000000000015</v>
      </c>
      <c r="G380" s="2">
        <v>15305.46</v>
      </c>
      <c r="H380" s="2">
        <v>15305.46</v>
      </c>
    </row>
    <row r="381" spans="1:8">
      <c r="A381" t="s">
        <v>1138</v>
      </c>
      <c r="B381" t="s">
        <v>208</v>
      </c>
      <c r="C381" s="1" t="s">
        <v>693</v>
      </c>
      <c r="D381" t="s">
        <v>1442</v>
      </c>
      <c r="E381" s="5">
        <v>8600</v>
      </c>
      <c r="F381" s="5">
        <v>8600</v>
      </c>
      <c r="G381" s="2">
        <v>42648.47</v>
      </c>
      <c r="H381" s="2">
        <v>42648.469999999994</v>
      </c>
    </row>
    <row r="382" spans="1:8">
      <c r="A382" t="s">
        <v>1139</v>
      </c>
      <c r="B382" t="s">
        <v>208</v>
      </c>
      <c r="C382" s="1" t="s">
        <v>616</v>
      </c>
      <c r="D382" t="s">
        <v>1442</v>
      </c>
      <c r="E382" s="5">
        <v>31343</v>
      </c>
      <c r="F382" s="5">
        <v>0</v>
      </c>
      <c r="G382" s="2">
        <v>59388</v>
      </c>
      <c r="H382" s="2">
        <v>59388</v>
      </c>
    </row>
    <row r="383" spans="1:8">
      <c r="A383" t="s">
        <v>1140</v>
      </c>
      <c r="B383" t="s">
        <v>563</v>
      </c>
      <c r="C383" s="1" t="s">
        <v>697</v>
      </c>
      <c r="D383" t="s">
        <v>1374</v>
      </c>
      <c r="E383" s="5">
        <v>76035</v>
      </c>
      <c r="F383" s="5">
        <v>76035</v>
      </c>
      <c r="G383" s="2">
        <v>549226.47000000009</v>
      </c>
      <c r="H383" s="2">
        <v>549226.47</v>
      </c>
    </row>
    <row r="384" spans="1:8">
      <c r="A384" t="s">
        <v>1141</v>
      </c>
      <c r="B384" t="s">
        <v>563</v>
      </c>
      <c r="C384" s="1" t="s">
        <v>690</v>
      </c>
      <c r="D384" t="s">
        <v>1374</v>
      </c>
      <c r="E384" s="5">
        <v>6700</v>
      </c>
      <c r="F384" s="5">
        <v>6700</v>
      </c>
      <c r="G384" s="2">
        <v>569926</v>
      </c>
      <c r="H384" s="2">
        <v>569926</v>
      </c>
    </row>
    <row r="385" spans="1:8">
      <c r="A385" t="s">
        <v>1142</v>
      </c>
      <c r="B385" t="s">
        <v>563</v>
      </c>
      <c r="C385" s="1" t="s">
        <v>562</v>
      </c>
      <c r="D385" t="s">
        <v>1374</v>
      </c>
      <c r="E385" s="5">
        <v>31342</v>
      </c>
      <c r="F385" s="5">
        <v>734.99999999999818</v>
      </c>
      <c r="G385" s="2">
        <v>411961.46000000008</v>
      </c>
      <c r="H385" s="2">
        <v>411961.45999999996</v>
      </c>
    </row>
    <row r="386" spans="1:8">
      <c r="A386" t="s">
        <v>1143</v>
      </c>
      <c r="B386" t="s">
        <v>637</v>
      </c>
      <c r="C386" s="1" t="s">
        <v>636</v>
      </c>
      <c r="D386" t="s">
        <v>1390</v>
      </c>
      <c r="E386" s="5">
        <v>165086.25999999995</v>
      </c>
      <c r="F386" s="5">
        <v>165086.25999999998</v>
      </c>
      <c r="G386" s="2">
        <v>655646.64999999991</v>
      </c>
      <c r="H386" s="2">
        <v>655646.65000000014</v>
      </c>
    </row>
    <row r="387" spans="1:8">
      <c r="A387" t="s">
        <v>1144</v>
      </c>
      <c r="B387" t="s">
        <v>314</v>
      </c>
      <c r="C387" s="1" t="s">
        <v>318</v>
      </c>
      <c r="D387" t="s">
        <v>1372</v>
      </c>
      <c r="E387" s="5">
        <v>248877.99999999988</v>
      </c>
      <c r="F387" s="5">
        <v>248878</v>
      </c>
      <c r="G387" s="2">
        <v>373068</v>
      </c>
      <c r="H387" s="2">
        <v>35832</v>
      </c>
    </row>
    <row r="388" spans="1:8">
      <c r="B388" t="s">
        <v>314</v>
      </c>
      <c r="C388" t="s">
        <v>313</v>
      </c>
      <c r="D388" t="s">
        <v>1372</v>
      </c>
      <c r="E388" s="5">
        <v>1517911.0000000002</v>
      </c>
      <c r="F388" s="5">
        <v>1517911.0000000002</v>
      </c>
    </row>
    <row r="389" spans="1:8">
      <c r="B389" t="s">
        <v>244</v>
      </c>
      <c r="C389" t="s">
        <v>349</v>
      </c>
      <c r="D389" t="s">
        <v>1373</v>
      </c>
      <c r="E389" s="5">
        <v>23019.999999999996</v>
      </c>
      <c r="F389" s="5">
        <v>23020</v>
      </c>
    </row>
    <row r="390" spans="1:8">
      <c r="B390" t="s">
        <v>244</v>
      </c>
      <c r="C390" t="s">
        <v>337</v>
      </c>
      <c r="D390" t="s">
        <v>1373</v>
      </c>
      <c r="E390" s="5">
        <v>222273.00000000003</v>
      </c>
      <c r="F390" s="5">
        <v>222273</v>
      </c>
      <c r="G390" s="2"/>
      <c r="H390" s="2"/>
    </row>
    <row r="391" spans="1:8">
      <c r="B391" t="s">
        <v>244</v>
      </c>
      <c r="C391" t="s">
        <v>243</v>
      </c>
      <c r="D391" t="s">
        <v>1373</v>
      </c>
      <c r="E391" s="5">
        <v>269732</v>
      </c>
      <c r="F391" s="5">
        <v>269732</v>
      </c>
    </row>
    <row r="392" spans="1:8">
      <c r="B392" t="s">
        <v>244</v>
      </c>
      <c r="C392" t="s">
        <v>334</v>
      </c>
      <c r="D392" t="s">
        <v>1373</v>
      </c>
      <c r="E392" s="5">
        <v>96686</v>
      </c>
      <c r="F392" s="5">
        <v>96686</v>
      </c>
    </row>
    <row r="393" spans="1:8">
      <c r="B393" t="s">
        <v>244</v>
      </c>
      <c r="C393" t="s">
        <v>643</v>
      </c>
      <c r="D393" t="s">
        <v>1373</v>
      </c>
      <c r="E393" s="5">
        <v>25100</v>
      </c>
      <c r="F393" s="5">
        <v>25100</v>
      </c>
    </row>
    <row r="394" spans="1:8">
      <c r="B394" t="s">
        <v>135</v>
      </c>
      <c r="C394" t="s">
        <v>245</v>
      </c>
      <c r="D394" t="s">
        <v>1376</v>
      </c>
      <c r="E394" s="5">
        <v>257350.00000000006</v>
      </c>
      <c r="F394" s="5">
        <v>257350.00000000003</v>
      </c>
    </row>
    <row r="395" spans="1:8">
      <c r="B395" t="s">
        <v>135</v>
      </c>
      <c r="C395" t="s">
        <v>139</v>
      </c>
      <c r="D395" t="s">
        <v>1376</v>
      </c>
      <c r="E395" s="5">
        <v>587130</v>
      </c>
      <c r="F395" s="5">
        <v>587130</v>
      </c>
    </row>
    <row r="396" spans="1:8">
      <c r="B396" t="s">
        <v>135</v>
      </c>
      <c r="C396" t="s">
        <v>247</v>
      </c>
      <c r="D396" t="s">
        <v>1376</v>
      </c>
      <c r="E396" s="5">
        <v>331010</v>
      </c>
      <c r="F396" s="5">
        <v>331010</v>
      </c>
    </row>
    <row r="397" spans="1:8">
      <c r="B397" t="s">
        <v>135</v>
      </c>
      <c r="C397" t="s">
        <v>134</v>
      </c>
      <c r="D397" t="s">
        <v>1376</v>
      </c>
      <c r="E397" s="5">
        <v>327428</v>
      </c>
      <c r="F397" s="5">
        <v>327428</v>
      </c>
    </row>
    <row r="398" spans="1:8">
      <c r="B398" t="s">
        <v>135</v>
      </c>
      <c r="C398" t="s">
        <v>628</v>
      </c>
      <c r="D398" t="s">
        <v>1376</v>
      </c>
      <c r="E398" s="5">
        <v>48600</v>
      </c>
      <c r="F398" s="5">
        <v>48600</v>
      </c>
    </row>
    <row r="399" spans="1:8">
      <c r="B399" t="s">
        <v>339</v>
      </c>
      <c r="C399" t="s">
        <v>338</v>
      </c>
      <c r="D399" t="s">
        <v>1376</v>
      </c>
      <c r="E399" s="5">
        <v>438739.99999999994</v>
      </c>
      <c r="F399" s="5">
        <v>438740</v>
      </c>
    </row>
    <row r="400" spans="1:8">
      <c r="B400" t="s">
        <v>339</v>
      </c>
      <c r="C400" t="s">
        <v>344</v>
      </c>
      <c r="D400" t="s">
        <v>1376</v>
      </c>
      <c r="E400" s="5">
        <v>13430.000000000002</v>
      </c>
      <c r="F400" s="5">
        <v>13430</v>
      </c>
    </row>
    <row r="401" spans="2:6">
      <c r="B401" t="s">
        <v>348</v>
      </c>
      <c r="C401" t="s">
        <v>347</v>
      </c>
      <c r="D401" t="s">
        <v>1376</v>
      </c>
      <c r="E401" s="5">
        <v>57660</v>
      </c>
      <c r="F401" s="5">
        <v>57660</v>
      </c>
    </row>
    <row r="402" spans="2:6">
      <c r="B402" t="s">
        <v>343</v>
      </c>
      <c r="C402" t="s">
        <v>342</v>
      </c>
      <c r="D402" t="s">
        <v>1376</v>
      </c>
      <c r="E402" s="5">
        <v>16475</v>
      </c>
      <c r="F402" s="5">
        <v>16475</v>
      </c>
    </row>
    <row r="403" spans="2:6">
      <c r="B403" t="s">
        <v>123</v>
      </c>
      <c r="C403" t="s">
        <v>345</v>
      </c>
      <c r="D403" t="s">
        <v>1388</v>
      </c>
      <c r="E403" s="5">
        <v>68390</v>
      </c>
      <c r="F403" s="5">
        <v>68390</v>
      </c>
    </row>
    <row r="404" spans="2:6">
      <c r="B404" t="s">
        <v>123</v>
      </c>
      <c r="C404" t="s">
        <v>352</v>
      </c>
      <c r="D404" t="s">
        <v>1388</v>
      </c>
      <c r="E404" s="5">
        <v>11880</v>
      </c>
      <c r="F404" s="5">
        <v>11880</v>
      </c>
    </row>
    <row r="405" spans="2:6">
      <c r="B405" t="s">
        <v>123</v>
      </c>
      <c r="C405" t="s">
        <v>252</v>
      </c>
      <c r="D405" t="s">
        <v>1388</v>
      </c>
      <c r="E405" s="5">
        <v>156707</v>
      </c>
      <c r="F405" s="5">
        <v>156707</v>
      </c>
    </row>
    <row r="406" spans="2:6">
      <c r="B406" t="s">
        <v>123</v>
      </c>
      <c r="C406" t="s">
        <v>122</v>
      </c>
      <c r="D406" t="s">
        <v>1388</v>
      </c>
      <c r="E406" s="5">
        <v>607397.00000000012</v>
      </c>
      <c r="F406" s="5">
        <v>607397</v>
      </c>
    </row>
    <row r="407" spans="2:6">
      <c r="B407" t="s">
        <v>123</v>
      </c>
      <c r="C407" t="s">
        <v>641</v>
      </c>
      <c r="D407" t="s">
        <v>1388</v>
      </c>
      <c r="E407" s="5">
        <v>37050</v>
      </c>
      <c r="F407" s="5">
        <v>37050</v>
      </c>
    </row>
    <row r="408" spans="2:6">
      <c r="B408" t="s">
        <v>83</v>
      </c>
      <c r="C408" t="s">
        <v>253</v>
      </c>
      <c r="D408" t="s">
        <v>1381</v>
      </c>
      <c r="E408" s="5">
        <v>46558.97</v>
      </c>
      <c r="F408" s="5">
        <v>46558.97</v>
      </c>
    </row>
    <row r="409" spans="2:6">
      <c r="B409" t="s">
        <v>83</v>
      </c>
      <c r="C409" t="s">
        <v>82</v>
      </c>
      <c r="D409" t="s">
        <v>1381</v>
      </c>
      <c r="E409" s="5">
        <v>601731</v>
      </c>
      <c r="F409" s="5">
        <v>601731</v>
      </c>
    </row>
    <row r="410" spans="2:6">
      <c r="B410" t="s">
        <v>83</v>
      </c>
      <c r="C410" t="s">
        <v>144</v>
      </c>
      <c r="D410" t="s">
        <v>1381</v>
      </c>
      <c r="E410" s="5">
        <v>659190</v>
      </c>
      <c r="F410" s="5">
        <v>659190</v>
      </c>
    </row>
    <row r="411" spans="2:6">
      <c r="B411" t="s">
        <v>83</v>
      </c>
      <c r="C411" t="s">
        <v>639</v>
      </c>
      <c r="D411" t="s">
        <v>1381</v>
      </c>
      <c r="E411" s="5">
        <v>35200</v>
      </c>
      <c r="F411" s="5">
        <v>35200</v>
      </c>
    </row>
    <row r="412" spans="2:6">
      <c r="B412" t="s">
        <v>83</v>
      </c>
      <c r="C412" t="s">
        <v>1444</v>
      </c>
      <c r="D412" t="s">
        <v>1381</v>
      </c>
      <c r="E412" s="5">
        <v>51799.550000000017</v>
      </c>
      <c r="F412" s="5">
        <v>51799.55</v>
      </c>
    </row>
    <row r="413" spans="2:6">
      <c r="B413" t="s">
        <v>150</v>
      </c>
      <c r="C413" t="s">
        <v>149</v>
      </c>
      <c r="D413" t="s">
        <v>1391</v>
      </c>
      <c r="E413" s="5">
        <v>677954.74999999988</v>
      </c>
      <c r="F413" s="5">
        <v>677954.75</v>
      </c>
    </row>
    <row r="414" spans="2:6">
      <c r="B414" t="s">
        <v>548</v>
      </c>
      <c r="C414" t="s">
        <v>547</v>
      </c>
      <c r="D414" t="s">
        <v>1395</v>
      </c>
      <c r="E414" s="5">
        <v>36660</v>
      </c>
      <c r="F414" s="5">
        <v>36660</v>
      </c>
    </row>
    <row r="415" spans="2:6">
      <c r="B415" t="s">
        <v>608</v>
      </c>
      <c r="C415" t="s">
        <v>607</v>
      </c>
      <c r="D415" t="s">
        <v>1396</v>
      </c>
      <c r="E415" s="5">
        <v>92080</v>
      </c>
      <c r="F415" s="5">
        <v>2250</v>
      </c>
    </row>
    <row r="416" spans="2:6">
      <c r="B416" t="s">
        <v>89</v>
      </c>
      <c r="C416" t="s">
        <v>88</v>
      </c>
      <c r="D416" t="s">
        <v>1397</v>
      </c>
      <c r="E416" s="5">
        <v>706550.74</v>
      </c>
      <c r="F416" s="5">
        <v>706550.74</v>
      </c>
    </row>
    <row r="417" spans="2:6">
      <c r="B417" t="s">
        <v>74</v>
      </c>
      <c r="C417" t="s">
        <v>73</v>
      </c>
      <c r="D417" t="s">
        <v>1392</v>
      </c>
      <c r="E417" s="5">
        <v>1559001.33</v>
      </c>
      <c r="F417" s="5">
        <v>1559001.33</v>
      </c>
    </row>
    <row r="418" spans="2:6">
      <c r="B418" t="s">
        <v>655</v>
      </c>
      <c r="C418" t="s">
        <v>654</v>
      </c>
      <c r="D418" t="s">
        <v>1393</v>
      </c>
      <c r="E418" s="5">
        <v>406539.60999999993</v>
      </c>
      <c r="F418" s="5">
        <v>406539.61000000004</v>
      </c>
    </row>
    <row r="419" spans="2:6">
      <c r="B419" t="s">
        <v>409</v>
      </c>
      <c r="C419" t="s">
        <v>408</v>
      </c>
      <c r="D419" t="s">
        <v>1394</v>
      </c>
      <c r="E419" s="5">
        <v>2481472.12</v>
      </c>
      <c r="F419" s="5">
        <v>488325.43000000017</v>
      </c>
    </row>
    <row r="420" spans="2:6">
      <c r="B420" t="s">
        <v>409</v>
      </c>
      <c r="C420" t="s">
        <v>490</v>
      </c>
      <c r="D420" t="s">
        <v>1394</v>
      </c>
      <c r="E420" s="5">
        <v>1169159.3999999999</v>
      </c>
      <c r="F420" s="5">
        <v>1020769.76</v>
      </c>
    </row>
    <row r="421" spans="2:6">
      <c r="B421" t="s">
        <v>258</v>
      </c>
      <c r="C421" t="s">
        <v>259</v>
      </c>
      <c r="D421" t="s">
        <v>1398</v>
      </c>
      <c r="E421" s="5">
        <v>17020.460000000003</v>
      </c>
      <c r="F421" s="5">
        <v>17020.460000000003</v>
      </c>
    </row>
    <row r="422" spans="2:6">
      <c r="B422" t="s">
        <v>258</v>
      </c>
      <c r="C422" t="s">
        <v>257</v>
      </c>
      <c r="D422" t="s">
        <v>1398</v>
      </c>
      <c r="E422" s="5">
        <v>94630.939999999988</v>
      </c>
      <c r="F422" s="5">
        <v>94630.939999999988</v>
      </c>
    </row>
    <row r="423" spans="2:6">
      <c r="B423" t="s">
        <v>322</v>
      </c>
      <c r="C423" t="s">
        <v>321</v>
      </c>
      <c r="D423" t="s">
        <v>1413</v>
      </c>
      <c r="E423" s="5">
        <v>15305.46</v>
      </c>
      <c r="F423" s="5">
        <v>15305.46</v>
      </c>
    </row>
    <row r="424" spans="2:6">
      <c r="B424" t="s">
        <v>78</v>
      </c>
      <c r="C424" t="s">
        <v>77</v>
      </c>
      <c r="D424" t="s">
        <v>1409</v>
      </c>
      <c r="E424" s="5">
        <v>70873.119999999995</v>
      </c>
      <c r="F424" s="5">
        <v>70873.119999999995</v>
      </c>
    </row>
    <row r="425" spans="2:6">
      <c r="B425" t="s">
        <v>229</v>
      </c>
      <c r="C425" t="s">
        <v>228</v>
      </c>
      <c r="D425" t="s">
        <v>1411</v>
      </c>
      <c r="E425" s="5">
        <v>162720.99000000002</v>
      </c>
      <c r="F425" s="5">
        <v>162720.99</v>
      </c>
    </row>
    <row r="426" spans="2:6">
      <c r="B426" t="s">
        <v>320</v>
      </c>
      <c r="C426" t="s">
        <v>319</v>
      </c>
      <c r="D426" t="s">
        <v>1410</v>
      </c>
      <c r="E426" s="5">
        <v>42162.78</v>
      </c>
      <c r="F426" s="5">
        <v>42162.78</v>
      </c>
    </row>
    <row r="427" spans="2:6">
      <c r="B427" t="s">
        <v>316</v>
      </c>
      <c r="C427" t="s">
        <v>315</v>
      </c>
      <c r="D427" t="s">
        <v>1410</v>
      </c>
      <c r="E427" s="5">
        <v>31354.28</v>
      </c>
      <c r="F427" s="5">
        <v>31354.28</v>
      </c>
    </row>
    <row r="428" spans="2:6">
      <c r="B428" t="s">
        <v>67</v>
      </c>
      <c r="C428" t="s">
        <v>66</v>
      </c>
      <c r="D428" t="s">
        <v>1408</v>
      </c>
      <c r="E428" s="5">
        <v>34920.699999999997</v>
      </c>
      <c r="F428" s="5">
        <v>34920.699999999997</v>
      </c>
    </row>
    <row r="429" spans="2:6">
      <c r="B429" t="s">
        <v>33</v>
      </c>
      <c r="C429" t="s">
        <v>32</v>
      </c>
      <c r="D429" t="s">
        <v>1403</v>
      </c>
      <c r="E429" s="5">
        <v>67344.850000000006</v>
      </c>
      <c r="F429" s="5">
        <v>67344.850000000006</v>
      </c>
    </row>
    <row r="430" spans="2:6">
      <c r="B430" t="s">
        <v>72</v>
      </c>
      <c r="C430" t="s">
        <v>71</v>
      </c>
      <c r="D430" t="s">
        <v>1401</v>
      </c>
      <c r="E430" s="5">
        <v>40048.370000000003</v>
      </c>
      <c r="F430" s="5">
        <v>40048.370000000003</v>
      </c>
    </row>
    <row r="431" spans="2:6">
      <c r="B431" t="s">
        <v>336</v>
      </c>
      <c r="C431" t="s">
        <v>335</v>
      </c>
      <c r="D431" t="s">
        <v>1404</v>
      </c>
      <c r="E431" s="5">
        <v>775920.48999999976</v>
      </c>
      <c r="F431" s="5">
        <v>775920.49</v>
      </c>
    </row>
    <row r="432" spans="2:6">
      <c r="B432" t="s">
        <v>76</v>
      </c>
      <c r="C432" t="s">
        <v>75</v>
      </c>
      <c r="D432" t="s">
        <v>1412</v>
      </c>
      <c r="E432" s="5">
        <v>41531.300000000003</v>
      </c>
      <c r="F432" s="5">
        <v>41531.300000000003</v>
      </c>
    </row>
    <row r="433" spans="2:6">
      <c r="B433" t="s">
        <v>39</v>
      </c>
      <c r="C433" t="s">
        <v>38</v>
      </c>
      <c r="D433" t="s">
        <v>1414</v>
      </c>
      <c r="E433" s="5">
        <v>48048.47</v>
      </c>
      <c r="F433" s="5">
        <v>47507.78</v>
      </c>
    </row>
    <row r="434" spans="2:6">
      <c r="B434" t="s">
        <v>69</v>
      </c>
      <c r="C434" t="s">
        <v>68</v>
      </c>
      <c r="D434" t="s">
        <v>1407</v>
      </c>
      <c r="E434" s="5">
        <v>32401.300000000003</v>
      </c>
      <c r="F434" s="5">
        <v>32401.3</v>
      </c>
    </row>
    <row r="435" spans="2:6">
      <c r="B435" t="s">
        <v>69</v>
      </c>
      <c r="C435" t="s">
        <v>311</v>
      </c>
      <c r="D435" t="s">
        <v>1407</v>
      </c>
      <c r="E435" s="5">
        <v>76986</v>
      </c>
      <c r="F435" s="5">
        <v>76986</v>
      </c>
    </row>
    <row r="436" spans="2:6">
      <c r="B436" t="s">
        <v>69</v>
      </c>
      <c r="C436" t="s">
        <v>289</v>
      </c>
      <c r="D436" t="s">
        <v>1407</v>
      </c>
      <c r="E436" s="5">
        <v>119449.45</v>
      </c>
      <c r="F436" s="5">
        <v>119449.45</v>
      </c>
    </row>
    <row r="437" spans="2:6">
      <c r="B437" t="s">
        <v>111</v>
      </c>
      <c r="C437" t="s">
        <v>110</v>
      </c>
      <c r="D437" t="s">
        <v>1405</v>
      </c>
      <c r="E437" s="5">
        <v>436903.00999999995</v>
      </c>
      <c r="F437" s="5">
        <v>423198.8600000001</v>
      </c>
    </row>
    <row r="438" spans="2:6">
      <c r="B438" t="s">
        <v>111</v>
      </c>
      <c r="C438" t="s">
        <v>331</v>
      </c>
      <c r="D438" t="s">
        <v>1406</v>
      </c>
      <c r="E438" s="5">
        <v>42894.030000000006</v>
      </c>
      <c r="F438" s="5">
        <v>42894.030000000006</v>
      </c>
    </row>
    <row r="439" spans="2:6">
      <c r="B439" t="s">
        <v>131</v>
      </c>
      <c r="C439" t="s">
        <v>227</v>
      </c>
      <c r="D439" t="s">
        <v>1402</v>
      </c>
      <c r="E439" s="5">
        <v>227187</v>
      </c>
      <c r="F439" s="5">
        <v>226219.26</v>
      </c>
    </row>
    <row r="440" spans="2:6">
      <c r="B440" t="s">
        <v>131</v>
      </c>
      <c r="C440" t="s">
        <v>130</v>
      </c>
      <c r="D440" t="s">
        <v>1402</v>
      </c>
      <c r="E440" s="5">
        <v>336867</v>
      </c>
      <c r="F440" s="5">
        <v>332794.34000000003</v>
      </c>
    </row>
    <row r="441" spans="2:6">
      <c r="B441" t="s">
        <v>131</v>
      </c>
      <c r="C441" t="s">
        <v>330</v>
      </c>
      <c r="D441" t="s">
        <v>1402</v>
      </c>
      <c r="E441" s="5">
        <v>52713.919999999998</v>
      </c>
      <c r="F441" s="5">
        <v>52713.919999999998</v>
      </c>
    </row>
    <row r="442" spans="2:6">
      <c r="B442" t="s">
        <v>448</v>
      </c>
      <c r="C442" t="s">
        <v>447</v>
      </c>
      <c r="D442" t="s">
        <v>1415</v>
      </c>
      <c r="E442" s="5">
        <v>59388</v>
      </c>
      <c r="F442" s="5">
        <v>59388</v>
      </c>
    </row>
    <row r="443" spans="2:6">
      <c r="B443" t="s">
        <v>15</v>
      </c>
      <c r="C443" t="s">
        <v>218</v>
      </c>
      <c r="D443" t="s">
        <v>1416</v>
      </c>
      <c r="E443" s="5">
        <v>549226.47</v>
      </c>
      <c r="F443" s="5">
        <v>549226.46999999986</v>
      </c>
    </row>
    <row r="444" spans="2:6">
      <c r="B444" t="s">
        <v>15</v>
      </c>
      <c r="C444" t="s">
        <v>14</v>
      </c>
      <c r="D444" t="s">
        <v>1417</v>
      </c>
      <c r="E444" s="5">
        <v>569926</v>
      </c>
      <c r="F444" s="5">
        <v>569926</v>
      </c>
    </row>
    <row r="445" spans="2:6">
      <c r="B445" t="s">
        <v>647</v>
      </c>
      <c r="C445" t="s">
        <v>646</v>
      </c>
      <c r="D445" t="s">
        <v>1426</v>
      </c>
      <c r="E445" s="5">
        <v>535903</v>
      </c>
      <c r="F445" s="5">
        <v>117939.15000000001</v>
      </c>
    </row>
    <row r="446" spans="2:6">
      <c r="B446" t="s">
        <v>249</v>
      </c>
      <c r="C446" t="s">
        <v>248</v>
      </c>
      <c r="D446" t="s">
        <v>1418</v>
      </c>
      <c r="E446" s="5">
        <v>411961.4600000002</v>
      </c>
      <c r="F446" s="5">
        <v>411961.4599999999</v>
      </c>
    </row>
    <row r="447" spans="2:6">
      <c r="B447" t="s">
        <v>60</v>
      </c>
      <c r="C447" t="s">
        <v>59</v>
      </c>
      <c r="D447" t="s">
        <v>1419</v>
      </c>
      <c r="E447" s="5">
        <v>655646.65000000014</v>
      </c>
      <c r="F447" s="5">
        <v>655646.65000000014</v>
      </c>
    </row>
    <row r="448" spans="2:6">
      <c r="B448" s="7"/>
      <c r="C448" s="7"/>
      <c r="D448" s="7"/>
      <c r="E448" s="8">
        <f>SUM(E7:E447)</f>
        <v>201308369.11000007</v>
      </c>
      <c r="F448" s="8">
        <f>SUM(F7:F447)</f>
        <v>181020894.01000011</v>
      </c>
    </row>
  </sheetData>
  <autoFilter ref="B6:I6"/>
  <pageMargins left="0.45" right="0.45" top="0.5" bottom="0.5" header="0.3" footer="0.3"/>
  <pageSetup scale="74" orientation="portrait" r:id="rId1"/>
  <colBreaks count="1" manualBreakCount="1">
    <brk id="6" max="467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4:H448"/>
  <sheetViews>
    <sheetView view="pageBreakPreview" topLeftCell="B1" zoomScaleNormal="100" zoomScaleSheetLayoutView="100" workbookViewId="0">
      <pane ySplit="6" topLeftCell="A7" activePane="bottomLeft" state="frozen"/>
      <selection activeCell="B1" sqref="B1"/>
      <selection pane="bottomLeft" activeCell="O424" sqref="O424"/>
    </sheetView>
  </sheetViews>
  <sheetFormatPr defaultRowHeight="15"/>
  <cols>
    <col min="1" max="1" width="20.42578125" hidden="1" customWidth="1"/>
    <col min="2" max="2" width="10.7109375" customWidth="1"/>
    <col min="3" max="3" width="12.140625" bestFit="1" customWidth="1"/>
    <col min="4" max="4" width="62.5703125" customWidth="1"/>
    <col min="5" max="6" width="17.7109375" style="5" customWidth="1"/>
    <col min="7" max="8" width="16.85546875" hidden="1" customWidth="1"/>
  </cols>
  <sheetData>
    <row r="4" spans="1:8" ht="9" customHeight="1"/>
    <row r="5" spans="1:8" ht="9" customHeight="1" thickBot="1"/>
    <row r="6" spans="1:8" ht="30">
      <c r="A6" s="3" t="s">
        <v>1421</v>
      </c>
      <c r="B6" s="3" t="s">
        <v>1429</v>
      </c>
      <c r="C6" s="3" t="s">
        <v>1430</v>
      </c>
      <c r="D6" s="3" t="s">
        <v>1420</v>
      </c>
      <c r="E6" s="6" t="s">
        <v>1471</v>
      </c>
      <c r="F6" s="6" t="s">
        <v>1472</v>
      </c>
      <c r="G6" s="3" t="s">
        <v>1431</v>
      </c>
      <c r="H6" s="3" t="s">
        <v>1432</v>
      </c>
    </row>
    <row r="7" spans="1:8">
      <c r="A7" t="s">
        <v>712</v>
      </c>
      <c r="B7" t="s">
        <v>64</v>
      </c>
      <c r="C7" s="1" t="s">
        <v>63</v>
      </c>
      <c r="D7" t="s">
        <v>1145</v>
      </c>
      <c r="E7" s="5">
        <v>62146.479999999981</v>
      </c>
      <c r="F7" s="5">
        <v>62146.479999999996</v>
      </c>
      <c r="G7" s="2">
        <v>62146.479999999996</v>
      </c>
      <c r="H7" s="2">
        <v>62146.479999999996</v>
      </c>
    </row>
    <row r="8" spans="1:8">
      <c r="A8" t="s">
        <v>713</v>
      </c>
      <c r="B8" t="s">
        <v>25</v>
      </c>
      <c r="C8" s="1" t="s">
        <v>211</v>
      </c>
      <c r="D8" t="s">
        <v>1146</v>
      </c>
      <c r="E8" s="5">
        <v>1953866.19</v>
      </c>
      <c r="F8" s="5">
        <v>1692500.16</v>
      </c>
      <c r="G8" s="2">
        <v>1798910.8299999998</v>
      </c>
      <c r="H8" s="2">
        <v>418200.85</v>
      </c>
    </row>
    <row r="9" spans="1:8">
      <c r="A9" t="s">
        <v>714</v>
      </c>
      <c r="B9" t="s">
        <v>25</v>
      </c>
      <c r="C9" s="1" t="s">
        <v>24</v>
      </c>
      <c r="D9" t="s">
        <v>1146</v>
      </c>
      <c r="E9" s="5">
        <v>19869.999999999996</v>
      </c>
      <c r="F9" s="5">
        <v>19870</v>
      </c>
      <c r="G9" s="2">
        <v>19869.999999999993</v>
      </c>
      <c r="H9" s="2">
        <v>19870</v>
      </c>
    </row>
    <row r="10" spans="1:8">
      <c r="A10" t="s">
        <v>715</v>
      </c>
      <c r="B10" t="s">
        <v>705</v>
      </c>
      <c r="C10" s="1" t="s">
        <v>704</v>
      </c>
      <c r="D10" t="s">
        <v>1146</v>
      </c>
      <c r="E10" s="5">
        <v>255</v>
      </c>
      <c r="F10" s="5">
        <v>255</v>
      </c>
      <c r="G10" s="2">
        <v>255</v>
      </c>
      <c r="H10" s="2">
        <v>255</v>
      </c>
    </row>
    <row r="11" spans="1:8">
      <c r="A11" t="s">
        <v>716</v>
      </c>
      <c r="B11" t="s">
        <v>701</v>
      </c>
      <c r="C11" s="1" t="s">
        <v>700</v>
      </c>
      <c r="D11" t="s">
        <v>1146</v>
      </c>
      <c r="E11" s="5">
        <v>255</v>
      </c>
      <c r="F11" s="5">
        <v>255</v>
      </c>
      <c r="G11" s="2">
        <v>255</v>
      </c>
      <c r="H11" s="2">
        <v>255</v>
      </c>
    </row>
    <row r="12" spans="1:8">
      <c r="A12" t="s">
        <v>717</v>
      </c>
      <c r="B12" t="s">
        <v>707</v>
      </c>
      <c r="C12" s="1" t="s">
        <v>706</v>
      </c>
      <c r="D12" t="s">
        <v>1146</v>
      </c>
      <c r="E12" s="5">
        <v>255</v>
      </c>
      <c r="F12" s="5">
        <v>255</v>
      </c>
      <c r="G12" s="2">
        <v>255</v>
      </c>
      <c r="H12" s="2">
        <v>255</v>
      </c>
    </row>
    <row r="13" spans="1:8">
      <c r="A13" t="s">
        <v>719</v>
      </c>
      <c r="B13" t="s">
        <v>469</v>
      </c>
      <c r="C13" s="1" t="s">
        <v>468</v>
      </c>
      <c r="D13" t="s">
        <v>1147</v>
      </c>
      <c r="E13" s="5">
        <v>543669.83000000007</v>
      </c>
      <c r="F13" s="5">
        <v>543669.83000000007</v>
      </c>
      <c r="G13" s="2">
        <v>59759</v>
      </c>
      <c r="H13" s="2">
        <v>19842.7</v>
      </c>
    </row>
    <row r="14" spans="1:8">
      <c r="A14" t="s">
        <v>720</v>
      </c>
      <c r="B14" t="s">
        <v>469</v>
      </c>
      <c r="C14" s="1" t="s">
        <v>638</v>
      </c>
      <c r="D14" t="s">
        <v>1147</v>
      </c>
      <c r="E14" s="5">
        <v>63616.85</v>
      </c>
      <c r="F14" s="5">
        <v>34961.300000000003</v>
      </c>
      <c r="G14" s="2">
        <v>459173.65</v>
      </c>
      <c r="H14" s="2">
        <v>22832.240000000002</v>
      </c>
    </row>
    <row r="15" spans="1:8">
      <c r="A15" t="s">
        <v>721</v>
      </c>
      <c r="B15" t="s">
        <v>292</v>
      </c>
      <c r="C15" s="1" t="s">
        <v>555</v>
      </c>
      <c r="D15" t="s">
        <v>1148</v>
      </c>
      <c r="E15" s="5">
        <v>459187.62999999995</v>
      </c>
      <c r="F15" s="5">
        <v>178511.89</v>
      </c>
      <c r="G15" s="2">
        <v>57893.07</v>
      </c>
      <c r="H15" s="2">
        <v>41255.42</v>
      </c>
    </row>
    <row r="16" spans="1:8">
      <c r="A16" t="s">
        <v>722</v>
      </c>
      <c r="B16" t="s">
        <v>292</v>
      </c>
      <c r="C16" s="1" t="s">
        <v>291</v>
      </c>
      <c r="D16" t="s">
        <v>1148</v>
      </c>
      <c r="E16" s="5">
        <v>64021.920000000006</v>
      </c>
      <c r="F16" s="5">
        <v>51912.17</v>
      </c>
      <c r="G16" s="2">
        <v>836746.37</v>
      </c>
      <c r="H16" s="2">
        <v>54869.3</v>
      </c>
    </row>
    <row r="17" spans="1:8">
      <c r="A17" t="s">
        <v>723</v>
      </c>
      <c r="B17" t="s">
        <v>298</v>
      </c>
      <c r="C17" s="1" t="s">
        <v>621</v>
      </c>
      <c r="D17" t="s">
        <v>1149</v>
      </c>
      <c r="E17" s="5">
        <v>836811</v>
      </c>
      <c r="F17" s="5">
        <v>719639.70999999973</v>
      </c>
      <c r="G17" s="2">
        <v>81695</v>
      </c>
      <c r="H17" s="2">
        <v>40575.39</v>
      </c>
    </row>
    <row r="18" spans="1:8">
      <c r="A18" t="s">
        <v>724</v>
      </c>
      <c r="B18" t="s">
        <v>298</v>
      </c>
      <c r="C18" s="1" t="s">
        <v>297</v>
      </c>
      <c r="D18" t="s">
        <v>1149</v>
      </c>
      <c r="E18" s="5">
        <v>68985.149999999994</v>
      </c>
      <c r="F18" s="5">
        <v>57196.210000000006</v>
      </c>
      <c r="G18" s="2">
        <v>1045346.1500000001</v>
      </c>
      <c r="H18" s="2">
        <v>1031978.16</v>
      </c>
    </row>
    <row r="19" spans="1:8">
      <c r="A19" t="s">
        <v>725</v>
      </c>
      <c r="B19" t="s">
        <v>251</v>
      </c>
      <c r="C19" s="1" t="s">
        <v>250</v>
      </c>
      <c r="D19" t="s">
        <v>1150</v>
      </c>
      <c r="E19" s="5">
        <v>1045346.15</v>
      </c>
      <c r="F19" s="5">
        <v>1045346.15</v>
      </c>
      <c r="G19" s="2">
        <v>573931.85</v>
      </c>
      <c r="H19" s="2">
        <v>204619.86000000002</v>
      </c>
    </row>
    <row r="20" spans="1:8">
      <c r="A20" t="s">
        <v>726</v>
      </c>
      <c r="B20" t="s">
        <v>5</v>
      </c>
      <c r="C20" s="1" t="s">
        <v>4</v>
      </c>
      <c r="D20" t="s">
        <v>1151</v>
      </c>
      <c r="E20" s="5">
        <v>573931.85</v>
      </c>
      <c r="F20" s="5">
        <v>397374.86</v>
      </c>
      <c r="G20" s="2">
        <v>1213342.5</v>
      </c>
      <c r="H20" s="2">
        <v>1213342.5</v>
      </c>
    </row>
    <row r="21" spans="1:8">
      <c r="A21" t="s">
        <v>727</v>
      </c>
      <c r="B21" t="s">
        <v>47</v>
      </c>
      <c r="C21" s="1" t="s">
        <v>46</v>
      </c>
      <c r="D21" t="s">
        <v>1152</v>
      </c>
      <c r="E21" s="5">
        <v>1213342.5</v>
      </c>
      <c r="F21" s="5">
        <v>1213342.5</v>
      </c>
      <c r="G21" s="2">
        <v>634977.99999999977</v>
      </c>
      <c r="H21" s="2">
        <v>71898.999999999971</v>
      </c>
    </row>
    <row r="22" spans="1:8">
      <c r="A22" t="s">
        <v>728</v>
      </c>
      <c r="B22" t="s">
        <v>56</v>
      </c>
      <c r="C22" s="1" t="s">
        <v>55</v>
      </c>
      <c r="D22" t="s">
        <v>1153</v>
      </c>
      <c r="E22" s="5">
        <v>634978</v>
      </c>
      <c r="F22" s="5">
        <v>630851.99999999988</v>
      </c>
      <c r="G22" s="2">
        <v>1624485.0000000002</v>
      </c>
      <c r="H22" s="2">
        <v>35906</v>
      </c>
    </row>
    <row r="23" spans="1:8">
      <c r="A23" t="s">
        <v>729</v>
      </c>
      <c r="B23" t="s">
        <v>35</v>
      </c>
      <c r="C23" s="1" t="s">
        <v>34</v>
      </c>
      <c r="D23" t="s">
        <v>1154</v>
      </c>
      <c r="E23" s="5">
        <v>1624485</v>
      </c>
      <c r="F23" s="5">
        <v>392691.00000000006</v>
      </c>
      <c r="G23" s="2">
        <v>124280.8599999999</v>
      </c>
      <c r="H23" s="2">
        <v>124280.86</v>
      </c>
    </row>
    <row r="24" spans="1:8">
      <c r="A24" t="s">
        <v>730</v>
      </c>
      <c r="B24" t="s">
        <v>518</v>
      </c>
      <c r="C24" s="1" t="s">
        <v>519</v>
      </c>
      <c r="D24" t="s">
        <v>1440</v>
      </c>
      <c r="E24" s="5">
        <v>124280.86</v>
      </c>
      <c r="F24" s="5">
        <v>124280.85999999997</v>
      </c>
      <c r="G24" s="2">
        <v>268512.08</v>
      </c>
      <c r="H24" s="2">
        <v>268512.08</v>
      </c>
    </row>
    <row r="25" spans="1:8">
      <c r="A25" t="s">
        <v>731</v>
      </c>
      <c r="B25" t="s">
        <v>518</v>
      </c>
      <c r="C25" s="1" t="s">
        <v>517</v>
      </c>
      <c r="D25" t="s">
        <v>1440</v>
      </c>
      <c r="E25" s="5">
        <v>268512.08000000013</v>
      </c>
      <c r="F25" s="5">
        <v>268512.08</v>
      </c>
      <c r="G25" s="2">
        <v>2993357.45</v>
      </c>
      <c r="H25" s="2">
        <v>2906594.5499999993</v>
      </c>
    </row>
    <row r="26" spans="1:8">
      <c r="A26" t="s">
        <v>732</v>
      </c>
      <c r="B26" t="s">
        <v>96</v>
      </c>
      <c r="C26" s="1" t="s">
        <v>95</v>
      </c>
      <c r="D26" t="s">
        <v>1157</v>
      </c>
      <c r="E26" s="5">
        <v>2993357.4499999997</v>
      </c>
      <c r="F26" s="5">
        <v>2993357.4500000007</v>
      </c>
      <c r="G26" s="2">
        <v>1000</v>
      </c>
      <c r="H26" s="2">
        <v>1000</v>
      </c>
    </row>
    <row r="27" spans="1:8">
      <c r="A27" t="s">
        <v>734</v>
      </c>
      <c r="B27" t="s">
        <v>545</v>
      </c>
      <c r="C27" s="1" t="s">
        <v>544</v>
      </c>
      <c r="D27" t="s">
        <v>1158</v>
      </c>
      <c r="E27" s="5">
        <v>1000</v>
      </c>
      <c r="F27" s="5">
        <v>1000</v>
      </c>
      <c r="G27" s="2">
        <v>1000</v>
      </c>
      <c r="H27" s="2">
        <v>1000</v>
      </c>
    </row>
    <row r="28" spans="1:8">
      <c r="A28" t="s">
        <v>735</v>
      </c>
      <c r="B28" t="s">
        <v>657</v>
      </c>
      <c r="C28" s="1" t="s">
        <v>656</v>
      </c>
      <c r="D28" t="s">
        <v>1159</v>
      </c>
      <c r="E28" s="5">
        <v>7983.58</v>
      </c>
      <c r="F28" s="5">
        <v>7983.58</v>
      </c>
      <c r="G28" s="2">
        <v>5500</v>
      </c>
      <c r="H28" s="2">
        <v>5500</v>
      </c>
    </row>
    <row r="29" spans="1:8">
      <c r="A29" t="s">
        <v>736</v>
      </c>
      <c r="B29" t="s">
        <v>600</v>
      </c>
      <c r="C29" s="1" t="s">
        <v>599</v>
      </c>
      <c r="D29" t="s">
        <v>1160</v>
      </c>
      <c r="E29" s="5">
        <v>1000</v>
      </c>
      <c r="F29" s="5">
        <v>1000</v>
      </c>
      <c r="G29" s="2">
        <v>2000</v>
      </c>
      <c r="H29" s="2">
        <v>2000</v>
      </c>
    </row>
    <row r="30" spans="1:8">
      <c r="A30" t="s">
        <v>737</v>
      </c>
      <c r="B30" t="s">
        <v>591</v>
      </c>
      <c r="C30" s="1" t="s">
        <v>590</v>
      </c>
      <c r="D30" t="s">
        <v>1161</v>
      </c>
      <c r="E30" s="5">
        <v>5500</v>
      </c>
      <c r="F30" s="5">
        <v>5500</v>
      </c>
      <c r="G30" s="2">
        <v>1500</v>
      </c>
      <c r="H30" s="2">
        <v>0</v>
      </c>
    </row>
    <row r="31" spans="1:8">
      <c r="A31" t="s">
        <v>738</v>
      </c>
      <c r="B31" t="s">
        <v>602</v>
      </c>
      <c r="C31" s="1" t="s">
        <v>601</v>
      </c>
      <c r="D31" t="s">
        <v>1162</v>
      </c>
      <c r="E31" s="5">
        <v>2000</v>
      </c>
      <c r="F31" s="5">
        <v>2000</v>
      </c>
      <c r="G31" s="2">
        <v>1000</v>
      </c>
      <c r="H31" s="2">
        <v>0</v>
      </c>
    </row>
    <row r="32" spans="1:8">
      <c r="A32" t="s">
        <v>739</v>
      </c>
      <c r="B32" t="s">
        <v>541</v>
      </c>
      <c r="C32" s="1" t="s">
        <v>540</v>
      </c>
      <c r="D32" t="s">
        <v>1163</v>
      </c>
      <c r="E32" s="5">
        <v>1500</v>
      </c>
      <c r="F32" s="5">
        <v>1500</v>
      </c>
      <c r="G32" s="2">
        <v>1000</v>
      </c>
      <c r="H32" s="2">
        <v>0</v>
      </c>
    </row>
    <row r="33" spans="1:8">
      <c r="A33" t="s">
        <v>740</v>
      </c>
      <c r="B33" t="s">
        <v>613</v>
      </c>
      <c r="C33" s="1" t="s">
        <v>612</v>
      </c>
      <c r="D33" t="s">
        <v>1164</v>
      </c>
      <c r="E33" s="5">
        <v>1000</v>
      </c>
      <c r="F33" s="5">
        <v>1000</v>
      </c>
      <c r="G33" s="2">
        <v>900</v>
      </c>
      <c r="H33" s="2">
        <v>0</v>
      </c>
    </row>
    <row r="34" spans="1:8">
      <c r="A34" t="s">
        <v>741</v>
      </c>
      <c r="B34" t="s">
        <v>87</v>
      </c>
      <c r="C34" s="1" t="s">
        <v>86</v>
      </c>
      <c r="D34" t="s">
        <v>1165</v>
      </c>
      <c r="E34" s="5">
        <v>999.99999999999989</v>
      </c>
      <c r="F34" s="5">
        <v>1000</v>
      </c>
      <c r="G34" s="2">
        <v>974043.06</v>
      </c>
      <c r="H34" s="2">
        <v>884104.71</v>
      </c>
    </row>
    <row r="35" spans="1:8">
      <c r="A35" t="s">
        <v>742</v>
      </c>
      <c r="B35" t="s">
        <v>574</v>
      </c>
      <c r="C35" s="1" t="s">
        <v>573</v>
      </c>
      <c r="D35" t="s">
        <v>1166</v>
      </c>
      <c r="E35" s="5">
        <v>900</v>
      </c>
      <c r="F35" s="5">
        <v>900</v>
      </c>
      <c r="G35" s="2">
        <v>1500</v>
      </c>
      <c r="H35" s="2">
        <v>925</v>
      </c>
    </row>
    <row r="36" spans="1:8">
      <c r="A36" t="s">
        <v>743</v>
      </c>
      <c r="B36" t="s">
        <v>217</v>
      </c>
      <c r="C36" s="1" t="s">
        <v>216</v>
      </c>
      <c r="D36" t="s">
        <v>1167</v>
      </c>
      <c r="E36" s="5">
        <v>974043.06000000017</v>
      </c>
      <c r="F36" s="5">
        <v>935610.4600000002</v>
      </c>
      <c r="G36" s="2">
        <v>34530</v>
      </c>
      <c r="H36" s="2">
        <v>30248.720000000001</v>
      </c>
    </row>
    <row r="37" spans="1:8">
      <c r="A37" t="s">
        <v>744</v>
      </c>
      <c r="B37" t="s">
        <v>217</v>
      </c>
      <c r="C37" s="1" t="s">
        <v>598</v>
      </c>
      <c r="D37" t="s">
        <v>1168</v>
      </c>
      <c r="E37" s="5">
        <v>1500</v>
      </c>
      <c r="F37" s="5">
        <v>1500</v>
      </c>
      <c r="G37" s="2">
        <v>15146</v>
      </c>
      <c r="H37" s="2">
        <v>15146</v>
      </c>
    </row>
    <row r="38" spans="1:8">
      <c r="A38" t="s">
        <v>745</v>
      </c>
      <c r="B38" t="s">
        <v>217</v>
      </c>
      <c r="C38" s="1" t="s">
        <v>1453</v>
      </c>
      <c r="D38" t="s">
        <v>1168</v>
      </c>
      <c r="E38" s="5">
        <v>205431</v>
      </c>
      <c r="F38" s="5">
        <v>16142</v>
      </c>
      <c r="G38" s="2">
        <v>15146</v>
      </c>
      <c r="H38" s="2">
        <v>15146</v>
      </c>
    </row>
    <row r="39" spans="1:8">
      <c r="A39" t="s">
        <v>746</v>
      </c>
      <c r="B39" t="s">
        <v>41</v>
      </c>
      <c r="C39" s="1" t="s">
        <v>40</v>
      </c>
      <c r="D39" t="s">
        <v>1169</v>
      </c>
      <c r="E39" s="5">
        <v>34530</v>
      </c>
      <c r="F39" s="5">
        <v>34530.000000000007</v>
      </c>
      <c r="G39" s="2">
        <v>25261</v>
      </c>
      <c r="H39" s="2">
        <v>25261</v>
      </c>
    </row>
    <row r="40" spans="1:8">
      <c r="A40" t="s">
        <v>748</v>
      </c>
      <c r="B40" t="s">
        <v>561</v>
      </c>
      <c r="C40" s="1" t="s">
        <v>681</v>
      </c>
      <c r="D40" t="s">
        <v>1454</v>
      </c>
      <c r="E40" s="5">
        <v>15146</v>
      </c>
      <c r="F40" s="5">
        <v>15146</v>
      </c>
      <c r="G40" s="2">
        <v>48370</v>
      </c>
      <c r="H40" s="2">
        <v>48370</v>
      </c>
    </row>
    <row r="41" spans="1:8">
      <c r="A41" t="s">
        <v>749</v>
      </c>
      <c r="B41" t="s">
        <v>561</v>
      </c>
      <c r="C41" s="1" t="s">
        <v>683</v>
      </c>
      <c r="D41" t="s">
        <v>1455</v>
      </c>
      <c r="E41" s="5">
        <v>15146</v>
      </c>
      <c r="F41" s="5">
        <v>15146</v>
      </c>
      <c r="G41" s="2">
        <v>72807.649999999994</v>
      </c>
      <c r="H41" s="2">
        <v>72807.649999999994</v>
      </c>
    </row>
    <row r="42" spans="1:8">
      <c r="A42" t="s">
        <v>750</v>
      </c>
      <c r="B42" t="s">
        <v>561</v>
      </c>
      <c r="C42" s="1" t="s">
        <v>682</v>
      </c>
      <c r="D42" t="s">
        <v>1456</v>
      </c>
      <c r="E42" s="5">
        <v>25261</v>
      </c>
      <c r="F42" s="5">
        <v>25261</v>
      </c>
      <c r="G42" s="2">
        <v>2860</v>
      </c>
      <c r="H42" s="2">
        <v>2860</v>
      </c>
    </row>
    <row r="43" spans="1:8">
      <c r="A43" t="s">
        <v>751</v>
      </c>
      <c r="B43" t="s">
        <v>561</v>
      </c>
      <c r="C43" s="1" t="s">
        <v>684</v>
      </c>
      <c r="D43" t="s">
        <v>1457</v>
      </c>
      <c r="E43" s="5">
        <v>25150</v>
      </c>
      <c r="F43" s="5">
        <v>25150</v>
      </c>
      <c r="G43" s="2">
        <v>18100</v>
      </c>
      <c r="H43" s="2">
        <v>15369</v>
      </c>
    </row>
    <row r="44" spans="1:8">
      <c r="A44" t="s">
        <v>752</v>
      </c>
      <c r="B44" t="s">
        <v>561</v>
      </c>
      <c r="C44" s="1" t="s">
        <v>658</v>
      </c>
      <c r="D44" t="s">
        <v>1458</v>
      </c>
      <c r="E44" s="5">
        <v>48370</v>
      </c>
      <c r="F44" s="5">
        <v>48370</v>
      </c>
      <c r="G44" s="2">
        <v>27375</v>
      </c>
      <c r="H44" s="2">
        <v>27375</v>
      </c>
    </row>
    <row r="45" spans="1:8">
      <c r="A45" t="s">
        <v>753</v>
      </c>
      <c r="B45" t="s">
        <v>561</v>
      </c>
      <c r="C45" s="1" t="s">
        <v>663</v>
      </c>
      <c r="D45" t="s">
        <v>1459</v>
      </c>
      <c r="E45" s="5">
        <v>72807.649999999994</v>
      </c>
      <c r="F45" s="5">
        <v>72807.649999999994</v>
      </c>
      <c r="G45" s="2">
        <v>1000</v>
      </c>
      <c r="H45" s="2">
        <v>0</v>
      </c>
    </row>
    <row r="46" spans="1:8">
      <c r="A46" t="s">
        <v>754</v>
      </c>
      <c r="B46" t="s">
        <v>561</v>
      </c>
      <c r="C46" s="1" t="s">
        <v>560</v>
      </c>
      <c r="D46" t="s">
        <v>1454</v>
      </c>
      <c r="E46" s="5">
        <v>2860</v>
      </c>
      <c r="F46" s="5">
        <v>2860</v>
      </c>
      <c r="G46" s="2">
        <v>1870214.0099999998</v>
      </c>
      <c r="H46" s="2">
        <v>1729037.79</v>
      </c>
    </row>
    <row r="47" spans="1:8">
      <c r="A47" t="s">
        <v>755</v>
      </c>
      <c r="B47" t="s">
        <v>515</v>
      </c>
      <c r="C47" s="1" t="s">
        <v>514</v>
      </c>
      <c r="D47" t="s">
        <v>1173</v>
      </c>
      <c r="E47" s="5">
        <v>18100</v>
      </c>
      <c r="F47" s="5">
        <v>18100</v>
      </c>
      <c r="G47" s="2">
        <v>4535</v>
      </c>
      <c r="H47" s="2">
        <v>4535</v>
      </c>
    </row>
    <row r="48" spans="1:8">
      <c r="A48" t="s">
        <v>756</v>
      </c>
      <c r="B48" t="s">
        <v>400</v>
      </c>
      <c r="C48" s="1" t="s">
        <v>399</v>
      </c>
      <c r="D48" t="s">
        <v>1174</v>
      </c>
      <c r="E48" s="5">
        <v>47150.31</v>
      </c>
      <c r="F48" s="5">
        <v>27375</v>
      </c>
      <c r="G48" s="2">
        <v>12970</v>
      </c>
      <c r="H48" s="2">
        <v>3240</v>
      </c>
    </row>
    <row r="49" spans="1:8">
      <c r="A49" t="s">
        <v>757</v>
      </c>
      <c r="B49" t="s">
        <v>557</v>
      </c>
      <c r="C49" s="1" t="s">
        <v>556</v>
      </c>
      <c r="D49" t="s">
        <v>1175</v>
      </c>
      <c r="E49" s="5">
        <v>1000</v>
      </c>
      <c r="F49" s="5">
        <v>1000</v>
      </c>
      <c r="G49" s="2">
        <v>1420896.0100000002</v>
      </c>
      <c r="H49" s="2">
        <v>536734.28</v>
      </c>
    </row>
    <row r="50" spans="1:8">
      <c r="A50" t="s">
        <v>758</v>
      </c>
      <c r="B50" t="s">
        <v>511</v>
      </c>
      <c r="C50" s="1" t="s">
        <v>510</v>
      </c>
      <c r="D50" t="s">
        <v>1176</v>
      </c>
      <c r="E50" s="5">
        <v>1870214.0099999995</v>
      </c>
      <c r="F50" s="5">
        <v>1730037.79</v>
      </c>
      <c r="G50" s="2">
        <v>81245.490000000005</v>
      </c>
      <c r="H50" s="2">
        <v>81245.490000000005</v>
      </c>
    </row>
    <row r="51" spans="1:8">
      <c r="A51" t="s">
        <v>759</v>
      </c>
      <c r="B51" t="s">
        <v>551</v>
      </c>
      <c r="C51" s="1" t="s">
        <v>550</v>
      </c>
      <c r="D51" t="s">
        <v>1177</v>
      </c>
      <c r="E51" s="5">
        <v>4535</v>
      </c>
      <c r="F51" s="5">
        <v>4535</v>
      </c>
      <c r="G51" s="2">
        <v>203859</v>
      </c>
      <c r="H51" s="2">
        <v>203859</v>
      </c>
    </row>
    <row r="52" spans="1:8">
      <c r="A52" t="s">
        <v>760</v>
      </c>
      <c r="B52" t="s">
        <v>424</v>
      </c>
      <c r="C52" s="1" t="s">
        <v>423</v>
      </c>
      <c r="D52" t="s">
        <v>1178</v>
      </c>
      <c r="E52" s="5">
        <v>12970</v>
      </c>
      <c r="F52" s="5">
        <v>7778.84</v>
      </c>
      <c r="G52" s="2">
        <v>1361203.6900000006</v>
      </c>
      <c r="H52" s="2">
        <v>1361203.69</v>
      </c>
    </row>
    <row r="53" spans="1:8">
      <c r="A53" t="s">
        <v>761</v>
      </c>
      <c r="B53" t="s">
        <v>261</v>
      </c>
      <c r="C53" s="1" t="s">
        <v>260</v>
      </c>
      <c r="D53" t="s">
        <v>1179</v>
      </c>
      <c r="E53" s="5">
        <v>1420896.01</v>
      </c>
      <c r="F53" s="5">
        <v>654695.03999999992</v>
      </c>
      <c r="G53" s="2">
        <v>562601.29999999993</v>
      </c>
      <c r="H53" s="2">
        <v>562601.30000000005</v>
      </c>
    </row>
    <row r="54" spans="1:8">
      <c r="A54" t="s">
        <v>762</v>
      </c>
      <c r="B54" t="s">
        <v>524</v>
      </c>
      <c r="C54" s="1" t="s">
        <v>523</v>
      </c>
      <c r="D54" t="s">
        <v>1180</v>
      </c>
      <c r="E54" s="5">
        <v>81245.490000000005</v>
      </c>
      <c r="F54" s="5">
        <v>81245.490000000005</v>
      </c>
      <c r="G54" s="2">
        <v>729819.60000000009</v>
      </c>
      <c r="H54" s="2">
        <v>729819.6</v>
      </c>
    </row>
    <row r="55" spans="1:8">
      <c r="A55" t="s">
        <v>763</v>
      </c>
      <c r="B55" t="s">
        <v>675</v>
      </c>
      <c r="C55" s="1" t="s">
        <v>674</v>
      </c>
      <c r="D55" t="s">
        <v>1445</v>
      </c>
      <c r="E55" s="5">
        <v>203859</v>
      </c>
      <c r="F55" s="5">
        <v>203859</v>
      </c>
      <c r="G55" s="2">
        <v>1583243.3800000001</v>
      </c>
      <c r="H55" s="2">
        <v>1583243.38</v>
      </c>
    </row>
    <row r="56" spans="1:8">
      <c r="A56" t="s">
        <v>764</v>
      </c>
      <c r="B56" t="s">
        <v>125</v>
      </c>
      <c r="C56" s="1" t="s">
        <v>124</v>
      </c>
      <c r="D56" t="s">
        <v>1446</v>
      </c>
      <c r="E56" s="5">
        <v>477394.11999999982</v>
      </c>
      <c r="F56" s="5">
        <v>477394.12000000005</v>
      </c>
      <c r="G56" s="2">
        <v>1854415.73</v>
      </c>
      <c r="H56" s="2">
        <v>1854415.73</v>
      </c>
    </row>
    <row r="57" spans="1:8">
      <c r="A57" t="s">
        <v>765</v>
      </c>
      <c r="B57" t="s">
        <v>125</v>
      </c>
      <c r="C57" s="1" t="s">
        <v>1447</v>
      </c>
      <c r="D57" t="s">
        <v>1184</v>
      </c>
      <c r="E57" s="5">
        <v>883809.57</v>
      </c>
      <c r="F57" s="5">
        <v>883809.57000000007</v>
      </c>
      <c r="G57" s="2">
        <v>506399.42000000016</v>
      </c>
      <c r="H57" s="2">
        <v>506399.42</v>
      </c>
    </row>
    <row r="58" spans="1:8">
      <c r="A58" t="s">
        <v>766</v>
      </c>
      <c r="B58" t="s">
        <v>81</v>
      </c>
      <c r="C58" s="1" t="s">
        <v>80</v>
      </c>
      <c r="D58" t="s">
        <v>1448</v>
      </c>
      <c r="E58" s="5">
        <v>562601.30000000005</v>
      </c>
      <c r="F58" s="5">
        <v>562601.30000000016</v>
      </c>
      <c r="G58" s="2">
        <v>400035.49999999994</v>
      </c>
      <c r="H58" s="2">
        <v>400035.5</v>
      </c>
    </row>
    <row r="59" spans="1:8">
      <c r="A59" t="s">
        <v>767</v>
      </c>
      <c r="B59" t="s">
        <v>699</v>
      </c>
      <c r="C59" s="1" t="s">
        <v>698</v>
      </c>
      <c r="D59" t="s">
        <v>1184</v>
      </c>
      <c r="E59" s="5">
        <v>729819.60000000009</v>
      </c>
      <c r="F59" s="5">
        <v>729819.6</v>
      </c>
      <c r="G59" s="2">
        <v>1247644.27</v>
      </c>
      <c r="H59" s="2">
        <v>1247644.27</v>
      </c>
    </row>
    <row r="60" spans="1:8">
      <c r="A60" t="s">
        <v>768</v>
      </c>
      <c r="B60" t="s">
        <v>133</v>
      </c>
      <c r="C60" s="1" t="s">
        <v>132</v>
      </c>
      <c r="D60" t="s">
        <v>1184</v>
      </c>
      <c r="E60" s="5">
        <v>1583243.38</v>
      </c>
      <c r="F60" s="5">
        <v>1583243.3800000001</v>
      </c>
      <c r="G60" s="2">
        <v>286062</v>
      </c>
      <c r="H60" s="2">
        <v>286062</v>
      </c>
    </row>
    <row r="61" spans="1:8">
      <c r="A61" t="s">
        <v>769</v>
      </c>
      <c r="B61" t="s">
        <v>107</v>
      </c>
      <c r="C61" s="1" t="s">
        <v>106</v>
      </c>
      <c r="D61" t="s">
        <v>1448</v>
      </c>
      <c r="E61" s="5">
        <v>1854415.73</v>
      </c>
      <c r="F61" s="5">
        <v>1854415.73</v>
      </c>
      <c r="G61" s="2">
        <v>2226853.5299999993</v>
      </c>
      <c r="H61" s="2">
        <v>2226853.5300000003</v>
      </c>
    </row>
    <row r="62" spans="1:8">
      <c r="A62" t="s">
        <v>770</v>
      </c>
      <c r="B62" t="s">
        <v>137</v>
      </c>
      <c r="C62" s="1" t="s">
        <v>136</v>
      </c>
      <c r="D62" t="s">
        <v>1184</v>
      </c>
      <c r="E62" s="5">
        <v>506399.42000000004</v>
      </c>
      <c r="F62" s="5">
        <v>506399.42</v>
      </c>
      <c r="G62" s="2">
        <v>248029</v>
      </c>
      <c r="H62" s="2">
        <v>248029</v>
      </c>
    </row>
    <row r="63" spans="1:8">
      <c r="A63" t="s">
        <v>771</v>
      </c>
      <c r="B63" t="s">
        <v>141</v>
      </c>
      <c r="C63" s="1" t="s">
        <v>140</v>
      </c>
      <c r="D63" t="s">
        <v>1449</v>
      </c>
      <c r="E63" s="5">
        <v>400035.5</v>
      </c>
      <c r="F63" s="5">
        <v>400035.5</v>
      </c>
      <c r="G63" s="2">
        <v>92968.56</v>
      </c>
      <c r="H63" s="2">
        <v>92968.56</v>
      </c>
    </row>
    <row r="64" spans="1:8">
      <c r="A64" t="s">
        <v>773</v>
      </c>
      <c r="B64" t="s">
        <v>100</v>
      </c>
      <c r="C64" s="1" t="s">
        <v>99</v>
      </c>
      <c r="D64" t="s">
        <v>1445</v>
      </c>
      <c r="E64" s="5">
        <v>521926.97</v>
      </c>
      <c r="F64" s="5">
        <v>521926.97</v>
      </c>
      <c r="G64" s="2">
        <v>322613.74000000011</v>
      </c>
      <c r="H64" s="2">
        <v>322613.74</v>
      </c>
    </row>
    <row r="65" spans="1:8">
      <c r="A65" t="s">
        <v>774</v>
      </c>
      <c r="B65" t="s">
        <v>100</v>
      </c>
      <c r="C65" s="1" t="s">
        <v>1450</v>
      </c>
      <c r="D65" t="s">
        <v>1451</v>
      </c>
      <c r="E65" s="5">
        <v>725717.29999999981</v>
      </c>
      <c r="F65" s="5">
        <v>725717.29999999981</v>
      </c>
      <c r="G65" s="2">
        <v>86914.78</v>
      </c>
      <c r="H65" s="2">
        <v>69345.440000000002</v>
      </c>
    </row>
    <row r="66" spans="1:8">
      <c r="A66" t="s">
        <v>775</v>
      </c>
      <c r="B66" t="s">
        <v>677</v>
      </c>
      <c r="C66" s="1" t="s">
        <v>676</v>
      </c>
      <c r="D66" t="s">
        <v>1445</v>
      </c>
      <c r="E66" s="5">
        <v>286062</v>
      </c>
      <c r="F66" s="5">
        <v>286062</v>
      </c>
      <c r="G66" s="2">
        <v>19531</v>
      </c>
      <c r="H66" s="2">
        <v>450</v>
      </c>
    </row>
    <row r="67" spans="1:8">
      <c r="A67" t="s">
        <v>776</v>
      </c>
      <c r="B67" t="s">
        <v>143</v>
      </c>
      <c r="C67" s="1" t="s">
        <v>142</v>
      </c>
      <c r="D67" t="s">
        <v>1191</v>
      </c>
      <c r="E67" s="5">
        <v>2226853.5299999989</v>
      </c>
      <c r="F67" s="5">
        <v>2226853.5300000003</v>
      </c>
      <c r="G67" s="2">
        <v>74212</v>
      </c>
      <c r="H67" s="2">
        <v>0</v>
      </c>
    </row>
    <row r="68" spans="1:8">
      <c r="A68" t="s">
        <v>777</v>
      </c>
      <c r="B68" t="s">
        <v>679</v>
      </c>
      <c r="C68" s="1" t="s">
        <v>678</v>
      </c>
      <c r="D68" t="s">
        <v>1445</v>
      </c>
      <c r="E68" s="5">
        <v>248029</v>
      </c>
      <c r="F68" s="5">
        <v>248029</v>
      </c>
      <c r="G68" s="2">
        <v>102925</v>
      </c>
      <c r="H68" s="2">
        <v>0</v>
      </c>
    </row>
    <row r="69" spans="1:8">
      <c r="A69" t="s">
        <v>778</v>
      </c>
      <c r="B69" t="s">
        <v>480</v>
      </c>
      <c r="C69" s="1" t="s">
        <v>479</v>
      </c>
      <c r="D69" t="s">
        <v>1448</v>
      </c>
      <c r="E69" s="5">
        <v>92968.56</v>
      </c>
      <c r="F69" s="5">
        <v>92968.559999999983</v>
      </c>
      <c r="G69" s="2">
        <v>9486448.0000000019</v>
      </c>
      <c r="H69" s="2">
        <v>9416218.3399999943</v>
      </c>
    </row>
    <row r="70" spans="1:8">
      <c r="A70" t="s">
        <v>779</v>
      </c>
      <c r="B70" t="s">
        <v>102</v>
      </c>
      <c r="C70" s="1" t="s">
        <v>101</v>
      </c>
      <c r="D70" t="s">
        <v>1449</v>
      </c>
      <c r="E70" s="5">
        <v>602758.79</v>
      </c>
      <c r="F70" s="5">
        <v>602758.78999999992</v>
      </c>
      <c r="G70" s="2">
        <v>2387896.069999997</v>
      </c>
      <c r="H70" s="2">
        <v>2300590.34</v>
      </c>
    </row>
    <row r="71" spans="1:8">
      <c r="A71" t="s">
        <v>780</v>
      </c>
      <c r="B71" t="s">
        <v>102</v>
      </c>
      <c r="C71" s="1" t="s">
        <v>1452</v>
      </c>
      <c r="D71" t="s">
        <v>1451</v>
      </c>
      <c r="E71" s="5">
        <v>408787.47000000003</v>
      </c>
      <c r="F71" s="5">
        <v>408787.47000000009</v>
      </c>
      <c r="G71" s="2">
        <v>39614</v>
      </c>
      <c r="H71" s="2">
        <v>6735.5</v>
      </c>
    </row>
    <row r="72" spans="1:8">
      <c r="A72" t="s">
        <v>781</v>
      </c>
      <c r="B72" t="s">
        <v>93</v>
      </c>
      <c r="C72" s="1" t="s">
        <v>92</v>
      </c>
      <c r="D72" t="s">
        <v>1449</v>
      </c>
      <c r="E72" s="5">
        <v>322613.74000000005</v>
      </c>
      <c r="F72" s="5">
        <v>322613.74000000005</v>
      </c>
      <c r="G72" s="2">
        <v>199760.56</v>
      </c>
      <c r="H72" s="2">
        <v>8289.9</v>
      </c>
    </row>
    <row r="73" spans="1:8">
      <c r="A73" t="s">
        <v>782</v>
      </c>
      <c r="B73" t="s">
        <v>402</v>
      </c>
      <c r="C73" s="1" t="s">
        <v>401</v>
      </c>
      <c r="D73" t="s">
        <v>1433</v>
      </c>
      <c r="E73" s="5">
        <v>86165.2</v>
      </c>
      <c r="F73" s="5">
        <v>86165.2</v>
      </c>
      <c r="G73" s="2">
        <v>26383</v>
      </c>
      <c r="H73" s="2">
        <v>7877.2</v>
      </c>
    </row>
    <row r="74" spans="1:8">
      <c r="A74" t="s">
        <v>783</v>
      </c>
      <c r="B74" t="s">
        <v>543</v>
      </c>
      <c r="C74" s="1" t="s">
        <v>542</v>
      </c>
      <c r="D74" t="s">
        <v>1197</v>
      </c>
      <c r="E74" s="5">
        <v>19531</v>
      </c>
      <c r="F74" s="5">
        <v>450</v>
      </c>
      <c r="G74" s="2">
        <v>859835</v>
      </c>
      <c r="H74" s="2">
        <v>859835</v>
      </c>
    </row>
    <row r="75" spans="1:8">
      <c r="A75" t="s">
        <v>784</v>
      </c>
      <c r="B75" t="s">
        <v>589</v>
      </c>
      <c r="C75" s="1" t="s">
        <v>588</v>
      </c>
      <c r="D75" t="s">
        <v>1198</v>
      </c>
      <c r="E75" s="5">
        <v>74212</v>
      </c>
      <c r="G75" s="2">
        <v>109605</v>
      </c>
      <c r="H75" s="2">
        <v>22524</v>
      </c>
    </row>
    <row r="76" spans="1:8">
      <c r="A76" t="s">
        <v>785</v>
      </c>
      <c r="B76" t="s">
        <v>565</v>
      </c>
      <c r="C76" s="1" t="s">
        <v>564</v>
      </c>
      <c r="D76" t="s">
        <v>1199</v>
      </c>
      <c r="E76" s="5">
        <v>102925</v>
      </c>
      <c r="G76" s="2">
        <v>27739</v>
      </c>
      <c r="H76" s="2">
        <v>25049</v>
      </c>
    </row>
    <row r="77" spans="1:8">
      <c r="A77" t="s">
        <v>786</v>
      </c>
      <c r="B77" t="s">
        <v>121</v>
      </c>
      <c r="C77" s="1" t="s">
        <v>301</v>
      </c>
      <c r="D77" t="s">
        <v>1200</v>
      </c>
      <c r="E77" s="5">
        <v>9894662.5799999982</v>
      </c>
      <c r="F77" s="5">
        <v>9667157.9599999916</v>
      </c>
      <c r="G77" s="2">
        <v>26888</v>
      </c>
      <c r="H77" s="2">
        <v>24198</v>
      </c>
    </row>
    <row r="78" spans="1:8">
      <c r="A78" t="s">
        <v>787</v>
      </c>
      <c r="B78" t="s">
        <v>121</v>
      </c>
      <c r="C78" s="1" t="s">
        <v>120</v>
      </c>
      <c r="D78" t="s">
        <v>1200</v>
      </c>
      <c r="E78" s="5">
        <v>2387896.0699999947</v>
      </c>
      <c r="F78" s="5">
        <v>2151241.2299999991</v>
      </c>
      <c r="G78" s="2">
        <v>26888</v>
      </c>
      <c r="H78" s="2">
        <v>24198</v>
      </c>
    </row>
    <row r="79" spans="1:8">
      <c r="A79" t="s">
        <v>788</v>
      </c>
      <c r="B79" t="s">
        <v>611</v>
      </c>
      <c r="C79" s="1" t="s">
        <v>610</v>
      </c>
      <c r="D79" t="s">
        <v>1201</v>
      </c>
      <c r="E79" s="5">
        <v>39614</v>
      </c>
      <c r="F79" s="5">
        <v>31864</v>
      </c>
      <c r="G79" s="2">
        <v>44040</v>
      </c>
      <c r="H79" s="2">
        <v>4400</v>
      </c>
    </row>
    <row r="80" spans="1:8">
      <c r="A80" t="s">
        <v>790</v>
      </c>
      <c r="B80" t="s">
        <v>631</v>
      </c>
      <c r="C80" s="1" t="s">
        <v>652</v>
      </c>
      <c r="D80" t="s">
        <v>1202</v>
      </c>
      <c r="E80" s="5">
        <v>199760.56</v>
      </c>
      <c r="F80" s="5">
        <v>199718.57999999996</v>
      </c>
      <c r="G80" s="2">
        <v>47400</v>
      </c>
      <c r="H80" s="2">
        <v>4500</v>
      </c>
    </row>
    <row r="81" spans="1:8">
      <c r="A81" t="s">
        <v>791</v>
      </c>
      <c r="B81" t="s">
        <v>597</v>
      </c>
      <c r="C81" s="1" t="s">
        <v>596</v>
      </c>
      <c r="D81" t="s">
        <v>1203</v>
      </c>
      <c r="E81" s="5">
        <v>26383.000000000004</v>
      </c>
      <c r="F81" s="5">
        <v>21408</v>
      </c>
      <c r="G81" s="2">
        <v>30574</v>
      </c>
      <c r="H81" s="2">
        <v>4200</v>
      </c>
    </row>
    <row r="82" spans="1:8">
      <c r="A82" t="s">
        <v>792</v>
      </c>
      <c r="B82" t="s">
        <v>164</v>
      </c>
      <c r="C82" s="1" t="s">
        <v>163</v>
      </c>
      <c r="D82" t="s">
        <v>1204</v>
      </c>
      <c r="E82" s="5">
        <v>859835</v>
      </c>
      <c r="F82" s="5">
        <v>859835</v>
      </c>
      <c r="G82" s="2">
        <v>28022</v>
      </c>
      <c r="H82" s="2">
        <v>4200</v>
      </c>
    </row>
    <row r="83" spans="1:8">
      <c r="A83" t="s">
        <v>793</v>
      </c>
      <c r="B83" t="s">
        <v>583</v>
      </c>
      <c r="C83" s="1" t="s">
        <v>582</v>
      </c>
      <c r="D83" t="s">
        <v>1205</v>
      </c>
      <c r="E83" s="5">
        <v>109605</v>
      </c>
      <c r="F83" s="5">
        <v>57519</v>
      </c>
      <c r="G83" s="2">
        <v>17500</v>
      </c>
      <c r="H83" s="2">
        <v>0</v>
      </c>
    </row>
    <row r="84" spans="1:8">
      <c r="A84" t="s">
        <v>794</v>
      </c>
      <c r="B84" t="s">
        <v>587</v>
      </c>
      <c r="C84" s="1" t="s">
        <v>586</v>
      </c>
      <c r="D84" t="s">
        <v>1206</v>
      </c>
      <c r="E84" s="5">
        <v>27739</v>
      </c>
      <c r="F84" s="5">
        <v>27739</v>
      </c>
      <c r="G84" s="2">
        <v>44030</v>
      </c>
      <c r="H84" s="2">
        <v>0</v>
      </c>
    </row>
    <row r="85" spans="1:8">
      <c r="A85" t="s">
        <v>795</v>
      </c>
      <c r="B85" t="s">
        <v>579</v>
      </c>
      <c r="C85" s="1" t="s">
        <v>578</v>
      </c>
      <c r="D85" t="s">
        <v>1207</v>
      </c>
      <c r="E85" s="5">
        <v>26888</v>
      </c>
      <c r="F85" s="5">
        <v>26888</v>
      </c>
      <c r="G85" s="2">
        <v>331944.99</v>
      </c>
      <c r="H85" s="2">
        <v>331944.73999999993</v>
      </c>
    </row>
    <row r="86" spans="1:8">
      <c r="A86" t="s">
        <v>796</v>
      </c>
      <c r="B86" t="s">
        <v>604</v>
      </c>
      <c r="C86" s="1" t="s">
        <v>603</v>
      </c>
      <c r="D86" t="s">
        <v>1208</v>
      </c>
      <c r="E86" s="5">
        <v>26888</v>
      </c>
      <c r="F86" s="5">
        <v>26888</v>
      </c>
      <c r="G86" s="2">
        <v>65265</v>
      </c>
      <c r="H86" s="2">
        <v>13813.95</v>
      </c>
    </row>
    <row r="87" spans="1:8">
      <c r="A87" t="s">
        <v>797</v>
      </c>
      <c r="B87" t="s">
        <v>623</v>
      </c>
      <c r="C87" s="1" t="s">
        <v>622</v>
      </c>
      <c r="D87" t="s">
        <v>1209</v>
      </c>
      <c r="E87" s="5">
        <v>44040</v>
      </c>
      <c r="F87" s="5">
        <v>41265</v>
      </c>
      <c r="G87" s="2">
        <v>115259</v>
      </c>
      <c r="H87" s="2">
        <v>4096.6499999999996</v>
      </c>
    </row>
    <row r="88" spans="1:8">
      <c r="A88" t="s">
        <v>798</v>
      </c>
      <c r="B88" t="s">
        <v>650</v>
      </c>
      <c r="C88" s="1" t="s">
        <v>649</v>
      </c>
      <c r="D88" t="s">
        <v>1200</v>
      </c>
      <c r="E88" s="5">
        <v>1248108.5000000005</v>
      </c>
      <c r="F88" s="5">
        <v>1248108.3900000001</v>
      </c>
      <c r="G88" s="2">
        <v>807015.5</v>
      </c>
      <c r="H88" s="2">
        <v>786101.52</v>
      </c>
    </row>
    <row r="89" spans="1:8">
      <c r="A89" t="s">
        <v>799</v>
      </c>
      <c r="B89" t="s">
        <v>615</v>
      </c>
      <c r="C89" s="1" t="s">
        <v>614</v>
      </c>
      <c r="D89" t="s">
        <v>1210</v>
      </c>
      <c r="E89" s="5">
        <v>47400</v>
      </c>
      <c r="F89" s="5">
        <v>41625</v>
      </c>
      <c r="G89" s="2">
        <v>782427.33999999985</v>
      </c>
      <c r="H89" s="2">
        <v>779777.34000000008</v>
      </c>
    </row>
    <row r="90" spans="1:8">
      <c r="A90" t="s">
        <v>800</v>
      </c>
      <c r="B90" t="s">
        <v>581</v>
      </c>
      <c r="C90" s="1" t="s">
        <v>580</v>
      </c>
      <c r="D90" t="s">
        <v>1211</v>
      </c>
      <c r="E90" s="5">
        <v>30574</v>
      </c>
      <c r="F90" s="5">
        <v>26074</v>
      </c>
      <c r="G90" s="2">
        <v>23274</v>
      </c>
      <c r="H90" s="2">
        <v>1055.75</v>
      </c>
    </row>
    <row r="91" spans="1:8">
      <c r="A91" t="s">
        <v>802</v>
      </c>
      <c r="B91" t="s">
        <v>595</v>
      </c>
      <c r="C91" s="1" t="s">
        <v>594</v>
      </c>
      <c r="D91" t="s">
        <v>1212</v>
      </c>
      <c r="E91" s="5">
        <v>28022</v>
      </c>
      <c r="F91" s="5">
        <v>23522</v>
      </c>
      <c r="G91" s="2">
        <v>55141</v>
      </c>
      <c r="H91" s="2">
        <v>12256.25</v>
      </c>
    </row>
    <row r="92" spans="1:8">
      <c r="A92" t="s">
        <v>803</v>
      </c>
      <c r="B92" t="s">
        <v>593</v>
      </c>
      <c r="C92" s="1" t="s">
        <v>592</v>
      </c>
      <c r="D92" t="s">
        <v>1213</v>
      </c>
      <c r="E92" s="5">
        <v>17500</v>
      </c>
      <c r="F92" s="5">
        <v>15000</v>
      </c>
      <c r="G92" s="2">
        <v>626369.39</v>
      </c>
      <c r="H92" s="2">
        <v>618303.97</v>
      </c>
    </row>
    <row r="93" spans="1:8">
      <c r="A93" t="s">
        <v>805</v>
      </c>
      <c r="B93" t="s">
        <v>559</v>
      </c>
      <c r="C93" s="1" t="s">
        <v>558</v>
      </c>
      <c r="D93" t="s">
        <v>1214</v>
      </c>
      <c r="E93" s="5">
        <v>44030</v>
      </c>
      <c r="G93" s="2">
        <v>1332219.5099999998</v>
      </c>
      <c r="H93" s="2">
        <v>1331118.17</v>
      </c>
    </row>
    <row r="94" spans="1:8">
      <c r="A94" t="s">
        <v>806</v>
      </c>
      <c r="B94" t="s">
        <v>276</v>
      </c>
      <c r="C94" s="1" t="s">
        <v>369</v>
      </c>
      <c r="D94" t="s">
        <v>1215</v>
      </c>
      <c r="E94" s="5">
        <v>331944.74</v>
      </c>
      <c r="F94" s="5">
        <v>331944.73999999993</v>
      </c>
      <c r="G94" s="2">
        <v>86744</v>
      </c>
      <c r="H94" s="2">
        <v>23894.95</v>
      </c>
    </row>
    <row r="95" spans="1:8">
      <c r="A95" t="s">
        <v>807</v>
      </c>
      <c r="B95" t="s">
        <v>276</v>
      </c>
      <c r="C95" s="1" t="s">
        <v>275</v>
      </c>
      <c r="D95" t="s">
        <v>1215</v>
      </c>
      <c r="E95" s="5">
        <v>57553.570000000007</v>
      </c>
      <c r="F95" s="5">
        <v>28363.55</v>
      </c>
      <c r="G95" s="2">
        <v>66910.3</v>
      </c>
      <c r="H95" s="2">
        <v>26279.65</v>
      </c>
    </row>
    <row r="96" spans="1:8">
      <c r="A96" t="s">
        <v>808</v>
      </c>
      <c r="B96" t="s">
        <v>391</v>
      </c>
      <c r="C96" s="1" t="s">
        <v>449</v>
      </c>
      <c r="D96" t="s">
        <v>1216</v>
      </c>
      <c r="E96" s="5">
        <v>87225</v>
      </c>
      <c r="F96" s="5">
        <v>22852.85</v>
      </c>
      <c r="G96" s="2">
        <v>12438.880000000003</v>
      </c>
      <c r="H96" s="2">
        <v>12438.88</v>
      </c>
    </row>
    <row r="97" spans="1:8">
      <c r="A97" t="s">
        <v>809</v>
      </c>
      <c r="B97" t="s">
        <v>391</v>
      </c>
      <c r="C97" s="1" t="s">
        <v>390</v>
      </c>
      <c r="D97" t="s">
        <v>1216</v>
      </c>
      <c r="E97" s="5">
        <v>806934.64</v>
      </c>
      <c r="F97" s="5">
        <v>806934.6399999999</v>
      </c>
      <c r="G97" s="2">
        <v>55964</v>
      </c>
      <c r="H97" s="2">
        <v>14092.45</v>
      </c>
    </row>
    <row r="98" spans="1:8">
      <c r="A98" t="s">
        <v>810</v>
      </c>
      <c r="B98" t="s">
        <v>58</v>
      </c>
      <c r="C98" s="1" t="s">
        <v>57</v>
      </c>
      <c r="D98" t="s">
        <v>1434</v>
      </c>
      <c r="E98" s="5">
        <v>782427.34</v>
      </c>
      <c r="F98" s="5">
        <v>782427.34</v>
      </c>
      <c r="G98" s="2">
        <v>2728798.54</v>
      </c>
      <c r="H98" s="2">
        <v>40162.559999999998</v>
      </c>
    </row>
    <row r="99" spans="1:8">
      <c r="A99" t="s">
        <v>811</v>
      </c>
      <c r="B99" t="s">
        <v>58</v>
      </c>
      <c r="C99" s="1" t="s">
        <v>552</v>
      </c>
      <c r="D99" t="s">
        <v>1434</v>
      </c>
      <c r="E99" s="5">
        <v>23274</v>
      </c>
      <c r="F99" s="5">
        <v>21115</v>
      </c>
      <c r="G99" s="2">
        <v>74257.540000000008</v>
      </c>
      <c r="H99" s="2">
        <v>12304.45</v>
      </c>
    </row>
    <row r="100" spans="1:8">
      <c r="A100" t="s">
        <v>812</v>
      </c>
      <c r="B100" t="s">
        <v>286</v>
      </c>
      <c r="C100" s="1" t="s">
        <v>285</v>
      </c>
      <c r="D100" t="s">
        <v>1219</v>
      </c>
      <c r="E100" s="5">
        <v>97134.17</v>
      </c>
      <c r="F100" s="5">
        <v>46549.95</v>
      </c>
      <c r="G100" s="2">
        <v>23274</v>
      </c>
      <c r="H100" s="2">
        <v>1055.75</v>
      </c>
    </row>
    <row r="101" spans="1:8">
      <c r="A101" t="s">
        <v>813</v>
      </c>
      <c r="B101" t="s">
        <v>296</v>
      </c>
      <c r="C101" s="1" t="s">
        <v>295</v>
      </c>
      <c r="D101" t="s">
        <v>1220</v>
      </c>
      <c r="E101" s="5">
        <v>57889.54</v>
      </c>
      <c r="F101" s="5">
        <v>20944.25</v>
      </c>
      <c r="G101" s="2">
        <v>333188</v>
      </c>
      <c r="H101" s="2">
        <v>316528.59999999998</v>
      </c>
    </row>
    <row r="102" spans="1:8">
      <c r="A102" t="s">
        <v>814</v>
      </c>
      <c r="B102" t="s">
        <v>220</v>
      </c>
      <c r="C102" s="1" t="s">
        <v>219</v>
      </c>
      <c r="D102" t="s">
        <v>1221</v>
      </c>
      <c r="E102" s="5">
        <v>618303.97</v>
      </c>
      <c r="F102" s="5">
        <v>618303.97</v>
      </c>
      <c r="G102" s="2">
        <v>608912</v>
      </c>
      <c r="H102" s="2">
        <v>608912</v>
      </c>
    </row>
    <row r="103" spans="1:8">
      <c r="A103" t="s">
        <v>815</v>
      </c>
      <c r="B103" t="s">
        <v>220</v>
      </c>
      <c r="C103" s="1" t="s">
        <v>310</v>
      </c>
      <c r="D103" t="s">
        <v>1221</v>
      </c>
      <c r="E103" s="5">
        <v>66092.539999999994</v>
      </c>
      <c r="F103" s="5">
        <v>32468.35</v>
      </c>
      <c r="G103" s="2">
        <v>200591.42999999996</v>
      </c>
      <c r="H103" s="2">
        <v>200591.43</v>
      </c>
    </row>
    <row r="104" spans="1:8">
      <c r="A104" t="s">
        <v>816</v>
      </c>
      <c r="B104" t="s">
        <v>109</v>
      </c>
      <c r="C104" s="1" t="s">
        <v>108</v>
      </c>
      <c r="D104" t="s">
        <v>1222</v>
      </c>
      <c r="E104" s="5">
        <v>1331118.17</v>
      </c>
      <c r="F104" s="5">
        <v>1331118.17</v>
      </c>
      <c r="G104" s="2">
        <v>80388</v>
      </c>
      <c r="H104" s="2">
        <v>33030.199999999997</v>
      </c>
    </row>
    <row r="105" spans="1:8">
      <c r="A105" t="s">
        <v>817</v>
      </c>
      <c r="B105" t="s">
        <v>109</v>
      </c>
      <c r="C105" s="1" t="s">
        <v>290</v>
      </c>
      <c r="D105" t="s">
        <v>1222</v>
      </c>
      <c r="E105" s="5">
        <v>70505.539999999994</v>
      </c>
      <c r="F105" s="5">
        <v>30771.35</v>
      </c>
      <c r="G105" s="2">
        <v>39635.80000000001</v>
      </c>
      <c r="H105" s="2">
        <v>31212.73</v>
      </c>
    </row>
    <row r="106" spans="1:8">
      <c r="A106" t="s">
        <v>818</v>
      </c>
      <c r="B106" t="s">
        <v>300</v>
      </c>
      <c r="C106" s="1" t="s">
        <v>299</v>
      </c>
      <c r="D106" t="s">
        <v>1223</v>
      </c>
      <c r="E106" s="5">
        <v>69658.84</v>
      </c>
      <c r="F106" s="5">
        <v>33428.85</v>
      </c>
      <c r="G106" s="2">
        <v>858211.53999999992</v>
      </c>
      <c r="H106" s="2">
        <v>773178.49000000011</v>
      </c>
    </row>
    <row r="107" spans="1:8">
      <c r="A107" t="s">
        <v>819</v>
      </c>
      <c r="B107" t="s">
        <v>709</v>
      </c>
      <c r="C107" s="1" t="s">
        <v>708</v>
      </c>
      <c r="D107" t="s">
        <v>1224</v>
      </c>
      <c r="E107" s="5">
        <v>12438.88</v>
      </c>
      <c r="F107" s="5">
        <v>12438.88</v>
      </c>
      <c r="G107" s="2">
        <v>72103.14</v>
      </c>
      <c r="H107" s="2">
        <v>23366.9</v>
      </c>
    </row>
    <row r="108" spans="1:8">
      <c r="A108" t="s">
        <v>821</v>
      </c>
      <c r="B108" t="s">
        <v>278</v>
      </c>
      <c r="C108" s="1" t="s">
        <v>277</v>
      </c>
      <c r="D108" t="s">
        <v>1225</v>
      </c>
      <c r="E108" s="5">
        <v>83954.05</v>
      </c>
      <c r="F108" s="5">
        <v>32282.05</v>
      </c>
      <c r="G108" s="2">
        <v>60565.79</v>
      </c>
      <c r="H108" s="2">
        <v>40349.94</v>
      </c>
    </row>
    <row r="109" spans="1:8">
      <c r="A109" t="s">
        <v>822</v>
      </c>
      <c r="B109" t="s">
        <v>282</v>
      </c>
      <c r="C109" s="1" t="s">
        <v>535</v>
      </c>
      <c r="D109" t="s">
        <v>1226</v>
      </c>
      <c r="E109" s="5">
        <v>2728798.54</v>
      </c>
      <c r="F109" s="5">
        <v>239192.07</v>
      </c>
      <c r="G109" s="2">
        <v>473707.75</v>
      </c>
      <c r="H109" s="2">
        <v>94754</v>
      </c>
    </row>
    <row r="110" spans="1:8">
      <c r="A110" t="s">
        <v>823</v>
      </c>
      <c r="B110" t="s">
        <v>282</v>
      </c>
      <c r="C110" s="1" t="s">
        <v>281</v>
      </c>
      <c r="D110" t="s">
        <v>1226</v>
      </c>
      <c r="E110" s="5">
        <v>60976.080000000009</v>
      </c>
      <c r="F110" s="5">
        <v>42518.789999999994</v>
      </c>
      <c r="G110" s="2">
        <v>2040133.6600000001</v>
      </c>
      <c r="H110" s="2">
        <v>1389897.4699999997</v>
      </c>
    </row>
    <row r="111" spans="1:8">
      <c r="A111" t="s">
        <v>824</v>
      </c>
      <c r="B111" t="s">
        <v>499</v>
      </c>
      <c r="C111" s="1" t="s">
        <v>575</v>
      </c>
      <c r="D111" t="s">
        <v>1227</v>
      </c>
      <c r="E111" s="5">
        <v>23274</v>
      </c>
      <c r="F111" s="5">
        <v>21115</v>
      </c>
      <c r="G111" s="2">
        <v>54347.669999999984</v>
      </c>
      <c r="H111" s="2">
        <v>31676.36</v>
      </c>
    </row>
    <row r="112" spans="1:8">
      <c r="A112" t="s">
        <v>826</v>
      </c>
      <c r="B112" t="s">
        <v>499</v>
      </c>
      <c r="C112" s="1" t="s">
        <v>498</v>
      </c>
      <c r="D112" t="s">
        <v>1227</v>
      </c>
      <c r="E112" s="5">
        <v>333188</v>
      </c>
      <c r="F112" s="5">
        <v>316528.59999999998</v>
      </c>
      <c r="G112" s="2">
        <v>77654</v>
      </c>
      <c r="H112" s="2">
        <v>39538.9</v>
      </c>
    </row>
    <row r="113" spans="1:8">
      <c r="A113" t="s">
        <v>828</v>
      </c>
      <c r="B113" t="s">
        <v>307</v>
      </c>
      <c r="C113" s="1" t="s">
        <v>484</v>
      </c>
      <c r="D113" t="s">
        <v>1228</v>
      </c>
      <c r="E113" s="5">
        <v>608912</v>
      </c>
      <c r="F113" s="5">
        <v>608912</v>
      </c>
      <c r="G113" s="2">
        <v>422035</v>
      </c>
      <c r="H113" s="2">
        <v>0</v>
      </c>
    </row>
    <row r="114" spans="1:8">
      <c r="A114" t="s">
        <v>829</v>
      </c>
      <c r="B114" t="s">
        <v>307</v>
      </c>
      <c r="C114" s="1" t="s">
        <v>306</v>
      </c>
      <c r="D114" t="s">
        <v>1228</v>
      </c>
      <c r="E114" s="5">
        <v>200591.42999999996</v>
      </c>
      <c r="F114" s="5">
        <v>200591.43</v>
      </c>
      <c r="G114" s="2">
        <v>2294.3700000000026</v>
      </c>
      <c r="H114" s="2">
        <v>2294.37</v>
      </c>
    </row>
    <row r="115" spans="1:8">
      <c r="A115" t="s">
        <v>830</v>
      </c>
      <c r="B115" t="s">
        <v>307</v>
      </c>
      <c r="C115" s="1" t="s">
        <v>482</v>
      </c>
      <c r="D115" t="s">
        <v>1228</v>
      </c>
      <c r="E115" s="5">
        <v>65250.94</v>
      </c>
      <c r="F115" s="5">
        <v>41850.6</v>
      </c>
      <c r="G115" s="2">
        <v>517233.92999999993</v>
      </c>
      <c r="H115" s="2">
        <v>420016.06000000011</v>
      </c>
    </row>
    <row r="116" spans="1:8">
      <c r="A116" t="s">
        <v>831</v>
      </c>
      <c r="B116" t="s">
        <v>305</v>
      </c>
      <c r="C116" s="1" t="s">
        <v>380</v>
      </c>
      <c r="D116" t="s">
        <v>1435</v>
      </c>
      <c r="E116" s="5">
        <v>55693.8</v>
      </c>
      <c r="F116" s="5">
        <v>39241.729999999996</v>
      </c>
      <c r="G116" s="2">
        <v>2629422.77</v>
      </c>
      <c r="H116" s="2">
        <v>2569845.1600000006</v>
      </c>
    </row>
    <row r="117" spans="1:8">
      <c r="A117" t="s">
        <v>832</v>
      </c>
      <c r="B117" t="s">
        <v>305</v>
      </c>
      <c r="C117" s="1" t="s">
        <v>304</v>
      </c>
      <c r="D117" t="s">
        <v>1435</v>
      </c>
      <c r="E117" s="5">
        <v>859911.0399999998</v>
      </c>
      <c r="F117" s="5">
        <v>807878.32000000018</v>
      </c>
      <c r="G117" s="2">
        <v>325368.04999999993</v>
      </c>
      <c r="H117" s="2">
        <v>325368.05000000005</v>
      </c>
    </row>
    <row r="118" spans="1:8">
      <c r="A118" t="s">
        <v>833</v>
      </c>
      <c r="B118" t="s">
        <v>554</v>
      </c>
      <c r="C118" s="1" t="s">
        <v>553</v>
      </c>
      <c r="D118" t="s">
        <v>1231</v>
      </c>
      <c r="E118" s="5">
        <v>30335.98</v>
      </c>
      <c r="F118" s="5">
        <v>23366.9</v>
      </c>
      <c r="G118" s="2">
        <v>60358.41</v>
      </c>
      <c r="H118" s="2">
        <v>21797.690000000002</v>
      </c>
    </row>
    <row r="119" spans="1:8">
      <c r="A119" t="s">
        <v>835</v>
      </c>
      <c r="B119" t="s">
        <v>127</v>
      </c>
      <c r="C119" s="1" t="s">
        <v>126</v>
      </c>
      <c r="D119" t="s">
        <v>1232</v>
      </c>
      <c r="E119" s="5">
        <v>762451.76</v>
      </c>
      <c r="F119" s="5">
        <v>762451.76</v>
      </c>
      <c r="G119" s="2">
        <v>97394.95</v>
      </c>
      <c r="H119" s="2">
        <v>56469.17</v>
      </c>
    </row>
    <row r="120" spans="1:8">
      <c r="A120" t="s">
        <v>836</v>
      </c>
      <c r="B120" t="s">
        <v>127</v>
      </c>
      <c r="C120" s="1" t="s">
        <v>491</v>
      </c>
      <c r="D120" t="s">
        <v>1232</v>
      </c>
      <c r="E120" s="5">
        <v>80830.22</v>
      </c>
      <c r="F120" s="5">
        <v>55895.54</v>
      </c>
      <c r="G120" s="2">
        <v>1196053.6599999999</v>
      </c>
      <c r="H120" s="2">
        <v>751615.66</v>
      </c>
    </row>
    <row r="121" spans="1:8">
      <c r="A121" t="s">
        <v>837</v>
      </c>
      <c r="B121" t="s">
        <v>127</v>
      </c>
      <c r="C121" s="1" t="s">
        <v>421</v>
      </c>
      <c r="D121" t="s">
        <v>1232</v>
      </c>
      <c r="E121" s="5">
        <v>466787.75</v>
      </c>
      <c r="F121" s="5">
        <v>108578</v>
      </c>
      <c r="G121" s="2">
        <v>77378.959999999992</v>
      </c>
      <c r="H121" s="2">
        <v>6995.25</v>
      </c>
    </row>
    <row r="122" spans="1:8">
      <c r="A122" t="s">
        <v>838</v>
      </c>
      <c r="B122" t="s">
        <v>21</v>
      </c>
      <c r="C122" s="1" t="s">
        <v>20</v>
      </c>
      <c r="D122" t="s">
        <v>1233</v>
      </c>
      <c r="E122" s="5">
        <v>2040133.66</v>
      </c>
      <c r="F122" s="5">
        <v>1780642</v>
      </c>
      <c r="G122" s="2">
        <v>1999490</v>
      </c>
      <c r="H122" s="2">
        <v>1466639.28</v>
      </c>
    </row>
    <row r="123" spans="1:8">
      <c r="A123" t="s">
        <v>839</v>
      </c>
      <c r="B123" t="s">
        <v>526</v>
      </c>
      <c r="C123" s="1" t="s">
        <v>525</v>
      </c>
      <c r="D123" t="s">
        <v>1234</v>
      </c>
      <c r="E123" s="5">
        <v>38654.599999999984</v>
      </c>
      <c r="F123" s="5">
        <v>38654.6</v>
      </c>
      <c r="G123" s="2">
        <v>1429551.9099999997</v>
      </c>
      <c r="H123" s="2">
        <v>1402255.77</v>
      </c>
    </row>
    <row r="124" spans="1:8">
      <c r="A124" t="s">
        <v>840</v>
      </c>
      <c r="B124" t="s">
        <v>446</v>
      </c>
      <c r="C124" s="1" t="s">
        <v>445</v>
      </c>
      <c r="D124" t="s">
        <v>1235</v>
      </c>
      <c r="E124" s="5">
        <v>565272.28</v>
      </c>
      <c r="F124" s="5">
        <v>565272.27999999991</v>
      </c>
      <c r="G124" s="2">
        <v>699501</v>
      </c>
      <c r="H124" s="2">
        <v>0</v>
      </c>
    </row>
    <row r="125" spans="1:8">
      <c r="A125" t="s">
        <v>841</v>
      </c>
      <c r="B125" t="s">
        <v>446</v>
      </c>
      <c r="C125" s="1" t="s">
        <v>520</v>
      </c>
      <c r="D125" t="s">
        <v>1235</v>
      </c>
      <c r="E125" s="5">
        <v>77654</v>
      </c>
      <c r="F125" s="5">
        <v>42601.85</v>
      </c>
      <c r="G125" s="2">
        <v>340097.91000000003</v>
      </c>
      <c r="H125" s="2">
        <v>178115.27</v>
      </c>
    </row>
    <row r="126" spans="1:8">
      <c r="A126" t="s">
        <v>842</v>
      </c>
      <c r="B126" t="s">
        <v>446</v>
      </c>
      <c r="C126" s="1" t="s">
        <v>527</v>
      </c>
      <c r="D126" t="s">
        <v>1235</v>
      </c>
      <c r="E126" s="5">
        <v>14874.599999999999</v>
      </c>
      <c r="F126" s="5">
        <v>14874.6</v>
      </c>
      <c r="G126" s="2">
        <v>55862.32</v>
      </c>
      <c r="H126" s="2">
        <v>4663</v>
      </c>
    </row>
    <row r="127" spans="1:8">
      <c r="A127" t="s">
        <v>843</v>
      </c>
      <c r="B127" t="s">
        <v>446</v>
      </c>
      <c r="C127" s="1" t="s">
        <v>653</v>
      </c>
      <c r="D127" t="s">
        <v>1235</v>
      </c>
      <c r="E127" s="5">
        <v>896985</v>
      </c>
      <c r="F127" s="5">
        <v>545822</v>
      </c>
      <c r="G127" s="2">
        <v>362258.22000000003</v>
      </c>
      <c r="H127" s="2">
        <v>362258.22</v>
      </c>
    </row>
    <row r="128" spans="1:8">
      <c r="A128" t="s">
        <v>844</v>
      </c>
      <c r="B128" t="s">
        <v>703</v>
      </c>
      <c r="C128" s="1" t="s">
        <v>702</v>
      </c>
      <c r="D128" t="s">
        <v>1236</v>
      </c>
      <c r="E128" s="5">
        <v>2294.3700000000026</v>
      </c>
      <c r="F128" s="5">
        <v>2294.37</v>
      </c>
      <c r="G128" s="2">
        <v>495156.1100000001</v>
      </c>
      <c r="H128" s="2">
        <v>495156.11</v>
      </c>
    </row>
    <row r="129" spans="1:8">
      <c r="A129" t="s">
        <v>845</v>
      </c>
      <c r="B129" t="s">
        <v>359</v>
      </c>
      <c r="C129" s="1" t="s">
        <v>358</v>
      </c>
      <c r="D129" t="s">
        <v>1237</v>
      </c>
      <c r="E129" s="5">
        <v>532350.31999999995</v>
      </c>
      <c r="F129" s="5">
        <v>524600.79</v>
      </c>
      <c r="G129" s="2">
        <v>260921.37</v>
      </c>
      <c r="H129" s="2">
        <v>16941.23</v>
      </c>
    </row>
    <row r="130" spans="1:8">
      <c r="A130" t="s">
        <v>846</v>
      </c>
      <c r="B130" t="s">
        <v>255</v>
      </c>
      <c r="C130" s="1" t="s">
        <v>254</v>
      </c>
      <c r="D130" t="s">
        <v>1238</v>
      </c>
      <c r="E130" s="5">
        <v>2629422.77</v>
      </c>
      <c r="F130" s="5">
        <v>2620255.7199999988</v>
      </c>
      <c r="G130" s="2">
        <v>5372185</v>
      </c>
      <c r="H130" s="2">
        <v>1895394.12</v>
      </c>
    </row>
    <row r="131" spans="1:8">
      <c r="A131" t="s">
        <v>847</v>
      </c>
      <c r="B131" t="s">
        <v>175</v>
      </c>
      <c r="C131" s="1" t="s">
        <v>174</v>
      </c>
      <c r="D131" t="s">
        <v>1239</v>
      </c>
      <c r="E131" s="5">
        <v>325368.04999999987</v>
      </c>
      <c r="F131" s="5">
        <v>325368.05</v>
      </c>
      <c r="G131" s="2">
        <v>605000</v>
      </c>
      <c r="H131" s="2">
        <v>195129.30999999997</v>
      </c>
    </row>
    <row r="132" spans="1:8">
      <c r="A132" t="s">
        <v>849</v>
      </c>
      <c r="B132" t="s">
        <v>411</v>
      </c>
      <c r="C132" s="1" t="s">
        <v>410</v>
      </c>
      <c r="D132" t="s">
        <v>1240</v>
      </c>
      <c r="E132" s="5">
        <v>60358.41</v>
      </c>
      <c r="F132" s="5">
        <v>53266.41</v>
      </c>
      <c r="G132" s="2">
        <v>38849</v>
      </c>
      <c r="H132" s="2">
        <v>13948.3</v>
      </c>
    </row>
    <row r="133" spans="1:8">
      <c r="A133" t="s">
        <v>850</v>
      </c>
      <c r="B133" t="s">
        <v>23</v>
      </c>
      <c r="C133" s="1" t="s">
        <v>22</v>
      </c>
      <c r="D133" t="s">
        <v>1241</v>
      </c>
      <c r="E133" s="5">
        <v>926370.80000000028</v>
      </c>
      <c r="F133" s="5">
        <v>926370.80000000016</v>
      </c>
      <c r="G133" s="2">
        <v>368398</v>
      </c>
      <c r="H133" s="2">
        <v>284088.53999999998</v>
      </c>
    </row>
    <row r="134" spans="1:8">
      <c r="A134" t="s">
        <v>851</v>
      </c>
      <c r="B134" t="s">
        <v>23</v>
      </c>
      <c r="C134" s="1" t="s">
        <v>412</v>
      </c>
      <c r="D134" t="s">
        <v>1241</v>
      </c>
      <c r="E134" s="5">
        <v>97394.95</v>
      </c>
      <c r="F134" s="5">
        <v>88119.95</v>
      </c>
      <c r="G134" s="2">
        <v>811513.43</v>
      </c>
      <c r="H134" s="2">
        <v>811513.43</v>
      </c>
    </row>
    <row r="135" spans="1:8">
      <c r="A135" t="s">
        <v>852</v>
      </c>
      <c r="B135" t="s">
        <v>329</v>
      </c>
      <c r="C135" s="1" t="s">
        <v>328</v>
      </c>
      <c r="D135" t="s">
        <v>1242</v>
      </c>
      <c r="E135" s="5">
        <v>1196053.6599999999</v>
      </c>
      <c r="F135" s="5">
        <v>1118784.6599999999</v>
      </c>
      <c r="G135" s="2">
        <v>2751321.9999999995</v>
      </c>
      <c r="H135" s="2">
        <v>2722903.9499999993</v>
      </c>
    </row>
    <row r="136" spans="1:8">
      <c r="A136" t="s">
        <v>853</v>
      </c>
      <c r="B136" t="s">
        <v>329</v>
      </c>
      <c r="C136" s="1" t="s">
        <v>357</v>
      </c>
      <c r="D136" t="s">
        <v>1242</v>
      </c>
      <c r="E136" s="5">
        <v>77378.959999999992</v>
      </c>
      <c r="F136" s="5">
        <v>54532.89</v>
      </c>
      <c r="G136" s="2">
        <v>38678</v>
      </c>
      <c r="H136" s="2">
        <v>3919</v>
      </c>
    </row>
    <row r="137" spans="1:8">
      <c r="A137" t="s">
        <v>854</v>
      </c>
      <c r="B137" t="s">
        <v>45</v>
      </c>
      <c r="C137" s="1" t="s">
        <v>44</v>
      </c>
      <c r="D137" t="s">
        <v>1243</v>
      </c>
      <c r="E137" s="5">
        <v>1999490.0000000002</v>
      </c>
      <c r="F137" s="5">
        <v>1546007.93</v>
      </c>
      <c r="G137" s="2">
        <v>163441.83000000002</v>
      </c>
      <c r="H137" s="2">
        <v>163441.82999999999</v>
      </c>
    </row>
    <row r="138" spans="1:8">
      <c r="A138" t="s">
        <v>855</v>
      </c>
      <c r="B138" t="s">
        <v>226</v>
      </c>
      <c r="C138" s="1" t="s">
        <v>225</v>
      </c>
      <c r="D138" t="s">
        <v>1244</v>
      </c>
      <c r="E138" s="5">
        <v>1429551.9099999997</v>
      </c>
      <c r="F138" s="5">
        <v>1420231.6099999996</v>
      </c>
      <c r="G138" s="2">
        <v>154349.75</v>
      </c>
      <c r="H138" s="2">
        <v>154349.75</v>
      </c>
    </row>
    <row r="139" spans="1:8">
      <c r="A139" t="s">
        <v>856</v>
      </c>
      <c r="B139" t="s">
        <v>226</v>
      </c>
      <c r="C139" s="1" t="s">
        <v>644</v>
      </c>
      <c r="D139" t="s">
        <v>1436</v>
      </c>
      <c r="E139" s="5">
        <v>1296238.3399999999</v>
      </c>
      <c r="F139" s="5">
        <v>923863</v>
      </c>
      <c r="G139" s="2">
        <v>262569.65000000002</v>
      </c>
      <c r="H139" s="2">
        <v>262569.64999999997</v>
      </c>
    </row>
    <row r="140" spans="1:8">
      <c r="A140" t="s">
        <v>857</v>
      </c>
      <c r="B140" t="s">
        <v>373</v>
      </c>
      <c r="C140" s="1" t="s">
        <v>372</v>
      </c>
      <c r="D140" t="s">
        <v>1245</v>
      </c>
      <c r="E140" s="5">
        <v>340097.91</v>
      </c>
      <c r="F140" s="5">
        <v>320305.27</v>
      </c>
      <c r="G140" s="2">
        <v>154349.75</v>
      </c>
      <c r="H140" s="2">
        <v>154349.75</v>
      </c>
    </row>
    <row r="141" spans="1:8">
      <c r="A141" t="s">
        <v>858</v>
      </c>
      <c r="B141" t="s">
        <v>373</v>
      </c>
      <c r="C141" s="1" t="s">
        <v>413</v>
      </c>
      <c r="D141" t="s">
        <v>1245</v>
      </c>
      <c r="E141" s="5">
        <v>55862.32</v>
      </c>
      <c r="F141" s="5">
        <v>41393.61</v>
      </c>
      <c r="G141" s="2">
        <v>154349.75</v>
      </c>
      <c r="H141" s="2">
        <v>154349.75</v>
      </c>
    </row>
    <row r="142" spans="1:8">
      <c r="A142" t="s">
        <v>859</v>
      </c>
      <c r="B142" t="s">
        <v>27</v>
      </c>
      <c r="C142" s="1" t="s">
        <v>26</v>
      </c>
      <c r="D142" t="s">
        <v>1246</v>
      </c>
      <c r="E142" s="5">
        <v>362258.22</v>
      </c>
      <c r="F142" s="5">
        <v>362258.22</v>
      </c>
      <c r="G142" s="2">
        <v>2342119.4499999997</v>
      </c>
      <c r="H142" s="2">
        <v>2333575.4800000018</v>
      </c>
    </row>
    <row r="143" spans="1:8">
      <c r="A143" t="s">
        <v>860</v>
      </c>
      <c r="B143" t="s">
        <v>455</v>
      </c>
      <c r="C143" s="1" t="s">
        <v>454</v>
      </c>
      <c r="D143" t="s">
        <v>1247</v>
      </c>
      <c r="E143" s="5">
        <v>495156.11</v>
      </c>
      <c r="F143" s="5">
        <v>495156.11</v>
      </c>
      <c r="G143" s="2">
        <v>98822.54</v>
      </c>
      <c r="H143" s="2">
        <v>59079.41</v>
      </c>
    </row>
    <row r="144" spans="1:8">
      <c r="A144" t="s">
        <v>861</v>
      </c>
      <c r="B144" t="s">
        <v>476</v>
      </c>
      <c r="C144" s="1" t="s">
        <v>475</v>
      </c>
      <c r="D144" t="s">
        <v>1248</v>
      </c>
      <c r="E144" s="5">
        <v>260921.37000000008</v>
      </c>
      <c r="F144" s="5">
        <v>56305.359999999993</v>
      </c>
      <c r="G144" s="2">
        <v>227005.56</v>
      </c>
      <c r="H144" s="2">
        <v>227005.56</v>
      </c>
    </row>
    <row r="145" spans="1:8">
      <c r="A145" t="s">
        <v>862</v>
      </c>
      <c r="B145" t="s">
        <v>394</v>
      </c>
      <c r="C145" s="1" t="s">
        <v>393</v>
      </c>
      <c r="D145" t="s">
        <v>1249</v>
      </c>
      <c r="E145" s="5">
        <v>5474876</v>
      </c>
      <c r="F145" s="5">
        <v>3859088.12</v>
      </c>
      <c r="G145" s="2">
        <v>116271.35</v>
      </c>
      <c r="H145" s="2">
        <v>116271.35</v>
      </c>
    </row>
    <row r="146" spans="1:8">
      <c r="A146" t="s">
        <v>864</v>
      </c>
      <c r="B146" t="s">
        <v>625</v>
      </c>
      <c r="C146" s="1" t="s">
        <v>645</v>
      </c>
      <c r="D146" t="s">
        <v>1437</v>
      </c>
      <c r="E146" s="5">
        <v>605000</v>
      </c>
      <c r="F146" s="5">
        <v>395706.80000000005</v>
      </c>
      <c r="G146" s="2">
        <v>59179</v>
      </c>
      <c r="H146" s="2">
        <v>27119.47</v>
      </c>
    </row>
    <row r="147" spans="1:8">
      <c r="A147" t="s">
        <v>865</v>
      </c>
      <c r="B147" t="s">
        <v>181</v>
      </c>
      <c r="C147" s="1" t="s">
        <v>180</v>
      </c>
      <c r="D147" t="s">
        <v>1250</v>
      </c>
      <c r="E147" s="5">
        <v>1356781.44</v>
      </c>
      <c r="F147" s="5">
        <v>1356781.44</v>
      </c>
      <c r="G147" s="2">
        <v>66065</v>
      </c>
      <c r="H147" s="2">
        <v>35971.449999999997</v>
      </c>
    </row>
    <row r="148" spans="1:8">
      <c r="A148" t="s">
        <v>866</v>
      </c>
      <c r="B148" t="s">
        <v>181</v>
      </c>
      <c r="C148" s="1" t="s">
        <v>495</v>
      </c>
      <c r="D148" t="s">
        <v>1250</v>
      </c>
      <c r="E148" s="5">
        <v>38849</v>
      </c>
      <c r="F148" s="5">
        <v>32537</v>
      </c>
      <c r="G148" s="2">
        <v>580417.09000000008</v>
      </c>
      <c r="H148" s="2">
        <v>580167.09000000008</v>
      </c>
    </row>
    <row r="149" spans="1:8">
      <c r="A149" t="s">
        <v>867</v>
      </c>
      <c r="B149" t="s">
        <v>431</v>
      </c>
      <c r="C149" s="1" t="s">
        <v>430</v>
      </c>
      <c r="D149" t="s">
        <v>1251</v>
      </c>
      <c r="E149" s="5">
        <v>368398</v>
      </c>
      <c r="F149" s="5">
        <v>284088.53999999998</v>
      </c>
      <c r="G149" s="2">
        <v>55093</v>
      </c>
      <c r="H149" s="2">
        <v>18880.5</v>
      </c>
    </row>
    <row r="150" spans="1:8">
      <c r="A150" t="s">
        <v>868</v>
      </c>
      <c r="B150" t="s">
        <v>404</v>
      </c>
      <c r="C150" s="1" t="s">
        <v>403</v>
      </c>
      <c r="D150" t="s">
        <v>1252</v>
      </c>
      <c r="E150" s="5">
        <v>811513.43</v>
      </c>
      <c r="F150" s="5">
        <v>811513.42999999993</v>
      </c>
      <c r="G150" s="2">
        <v>1503197.3900000001</v>
      </c>
      <c r="H150" s="2">
        <v>575502.99</v>
      </c>
    </row>
    <row r="151" spans="1:8">
      <c r="A151" t="s">
        <v>869</v>
      </c>
      <c r="B151" t="s">
        <v>272</v>
      </c>
      <c r="C151" s="1" t="s">
        <v>271</v>
      </c>
      <c r="D151" t="s">
        <v>1253</v>
      </c>
      <c r="E151" s="5">
        <v>2751321.9999999995</v>
      </c>
      <c r="F151" s="5">
        <v>2738358.9999999995</v>
      </c>
      <c r="G151" s="2">
        <v>56862.79</v>
      </c>
      <c r="H151" s="2">
        <v>43979.6</v>
      </c>
    </row>
    <row r="152" spans="1:8">
      <c r="A152" t="s">
        <v>870</v>
      </c>
      <c r="B152" t="s">
        <v>272</v>
      </c>
      <c r="C152" s="1" t="s">
        <v>362</v>
      </c>
      <c r="D152" t="s">
        <v>1253</v>
      </c>
      <c r="E152" s="5">
        <v>38678</v>
      </c>
      <c r="F152" s="5">
        <v>31514.5</v>
      </c>
      <c r="G152" s="2">
        <v>40029.770000000004</v>
      </c>
      <c r="H152" s="2">
        <v>38575.18</v>
      </c>
    </row>
    <row r="153" spans="1:8">
      <c r="A153" t="s">
        <v>871</v>
      </c>
      <c r="B153" t="s">
        <v>325</v>
      </c>
      <c r="C153" s="1" t="s">
        <v>324</v>
      </c>
      <c r="D153" t="s">
        <v>1438</v>
      </c>
      <c r="E153" s="5">
        <v>163441.82999999999</v>
      </c>
      <c r="F153" s="5">
        <v>163441.82999999999</v>
      </c>
      <c r="G153" s="2">
        <v>294107.64</v>
      </c>
      <c r="H153" s="2">
        <v>167514.64000000001</v>
      </c>
    </row>
    <row r="154" spans="1:8">
      <c r="A154" t="s">
        <v>872</v>
      </c>
      <c r="B154" t="s">
        <v>692</v>
      </c>
      <c r="C154" s="1" t="s">
        <v>691</v>
      </c>
      <c r="D154" t="s">
        <v>1438</v>
      </c>
      <c r="E154" s="5">
        <v>154349.75</v>
      </c>
      <c r="F154" s="5">
        <v>154349.75</v>
      </c>
      <c r="G154" s="2">
        <v>38452.58</v>
      </c>
      <c r="H154" s="2">
        <v>36993.780000000006</v>
      </c>
    </row>
    <row r="155" spans="1:8">
      <c r="A155" t="s">
        <v>873</v>
      </c>
      <c r="B155" t="s">
        <v>671</v>
      </c>
      <c r="C155" s="1" t="s">
        <v>670</v>
      </c>
      <c r="D155" t="s">
        <v>1256</v>
      </c>
      <c r="E155" s="5">
        <v>262569.65000000002</v>
      </c>
      <c r="F155" s="5">
        <v>262569.64999999997</v>
      </c>
      <c r="G155" s="2">
        <v>146786.34</v>
      </c>
      <c r="H155" s="2">
        <v>139786.34</v>
      </c>
    </row>
    <row r="156" spans="1:8">
      <c r="A156" t="s">
        <v>874</v>
      </c>
      <c r="B156" t="s">
        <v>327</v>
      </c>
      <c r="C156" s="1" t="s">
        <v>326</v>
      </c>
      <c r="D156" t="s">
        <v>1438</v>
      </c>
      <c r="E156" s="5">
        <v>154349.75</v>
      </c>
      <c r="F156" s="5">
        <v>154349.75</v>
      </c>
      <c r="G156" s="2">
        <v>26155</v>
      </c>
      <c r="H156" s="2">
        <v>21004.5</v>
      </c>
    </row>
    <row r="157" spans="1:8">
      <c r="A157" t="s">
        <v>875</v>
      </c>
      <c r="B157" t="s">
        <v>185</v>
      </c>
      <c r="C157" s="1" t="s">
        <v>184</v>
      </c>
      <c r="D157" t="s">
        <v>1438</v>
      </c>
      <c r="E157" s="5">
        <v>154349.75</v>
      </c>
      <c r="F157" s="5">
        <v>154349.75</v>
      </c>
      <c r="G157" s="2">
        <v>48292</v>
      </c>
      <c r="H157" s="2">
        <v>7500</v>
      </c>
    </row>
    <row r="158" spans="1:8">
      <c r="A158" t="s">
        <v>876</v>
      </c>
      <c r="B158" t="s">
        <v>49</v>
      </c>
      <c r="C158" s="1" t="s">
        <v>48</v>
      </c>
      <c r="D158" t="s">
        <v>1259</v>
      </c>
      <c r="E158" s="5">
        <v>2339604.4500000002</v>
      </c>
      <c r="F158" s="5">
        <v>2339604.4500000002</v>
      </c>
      <c r="G158" s="2">
        <v>2438133.8199999998</v>
      </c>
      <c r="H158" s="2">
        <v>0</v>
      </c>
    </row>
    <row r="159" spans="1:8">
      <c r="A159" t="s">
        <v>877</v>
      </c>
      <c r="B159" t="s">
        <v>49</v>
      </c>
      <c r="C159" s="1" t="s">
        <v>530</v>
      </c>
      <c r="D159" t="s">
        <v>1259</v>
      </c>
      <c r="E159" s="5">
        <v>98822.54</v>
      </c>
      <c r="F159" s="5">
        <v>81424.74000000002</v>
      </c>
      <c r="G159" s="2">
        <v>799841</v>
      </c>
      <c r="H159" s="2">
        <v>459317.94</v>
      </c>
    </row>
    <row r="160" spans="1:8">
      <c r="A160" t="s">
        <v>878</v>
      </c>
      <c r="B160" t="s">
        <v>49</v>
      </c>
      <c r="C160" s="1" t="s">
        <v>483</v>
      </c>
      <c r="D160" t="s">
        <v>1259</v>
      </c>
      <c r="E160" s="5">
        <v>227005.56</v>
      </c>
      <c r="F160" s="5">
        <v>227005.56</v>
      </c>
      <c r="G160" s="2">
        <v>17550</v>
      </c>
      <c r="H160" s="2">
        <v>12860</v>
      </c>
    </row>
    <row r="161" spans="1:8">
      <c r="A161" t="s">
        <v>879</v>
      </c>
      <c r="B161" t="s">
        <v>49</v>
      </c>
      <c r="C161" s="1" t="s">
        <v>546</v>
      </c>
      <c r="D161" t="s">
        <v>1259</v>
      </c>
      <c r="E161" s="5">
        <v>116271.34999999998</v>
      </c>
      <c r="F161" s="5">
        <v>116271.35</v>
      </c>
      <c r="G161" s="2">
        <v>73186.78</v>
      </c>
      <c r="H161" s="2">
        <v>69186.78</v>
      </c>
    </row>
    <row r="162" spans="1:8">
      <c r="A162" t="s">
        <v>880</v>
      </c>
      <c r="B162" t="s">
        <v>172</v>
      </c>
      <c r="C162" s="1" t="s">
        <v>570</v>
      </c>
      <c r="D162" t="s">
        <v>1260</v>
      </c>
      <c r="E162" s="5">
        <v>118290.72</v>
      </c>
      <c r="F162" s="5">
        <v>118290.72000000002</v>
      </c>
      <c r="G162" s="2">
        <v>34947.160000000003</v>
      </c>
      <c r="H162" s="2">
        <v>29219.11</v>
      </c>
    </row>
    <row r="163" spans="1:8">
      <c r="A163" t="s">
        <v>881</v>
      </c>
      <c r="B163" t="s">
        <v>172</v>
      </c>
      <c r="C163" s="1" t="s">
        <v>171</v>
      </c>
      <c r="D163" t="s">
        <v>1260</v>
      </c>
      <c r="E163" s="5">
        <v>62071.43</v>
      </c>
      <c r="F163" s="5">
        <v>59912.429999999993</v>
      </c>
      <c r="G163" s="2">
        <v>1963897.3200000003</v>
      </c>
      <c r="H163" s="2">
        <v>1963897.3199999998</v>
      </c>
    </row>
    <row r="164" spans="1:8">
      <c r="A164" t="s">
        <v>882</v>
      </c>
      <c r="B164" t="s">
        <v>294</v>
      </c>
      <c r="C164" s="1" t="s">
        <v>293</v>
      </c>
      <c r="D164" t="s">
        <v>1261</v>
      </c>
      <c r="E164" s="5">
        <v>86316.54</v>
      </c>
      <c r="F164" s="5">
        <v>81409</v>
      </c>
      <c r="G164" s="2">
        <v>396312.42999999993</v>
      </c>
      <c r="H164" s="2">
        <v>396312.43</v>
      </c>
    </row>
    <row r="165" spans="1:8">
      <c r="A165" t="s">
        <v>883</v>
      </c>
      <c r="B165" t="s">
        <v>91</v>
      </c>
      <c r="C165" s="1" t="s">
        <v>90</v>
      </c>
      <c r="D165" t="s">
        <v>1262</v>
      </c>
      <c r="E165" s="5">
        <v>580417.09000000008</v>
      </c>
      <c r="F165" s="5">
        <v>580417.09</v>
      </c>
      <c r="G165" s="2">
        <v>284996.25000000006</v>
      </c>
      <c r="H165" s="2">
        <v>284996.25</v>
      </c>
    </row>
    <row r="166" spans="1:8">
      <c r="A166" t="s">
        <v>884</v>
      </c>
      <c r="B166" t="s">
        <v>91</v>
      </c>
      <c r="C166" s="1" t="s">
        <v>436</v>
      </c>
      <c r="D166" t="s">
        <v>1262</v>
      </c>
      <c r="E166" s="5">
        <v>55093</v>
      </c>
      <c r="F166" s="5">
        <v>54110</v>
      </c>
      <c r="G166" s="2">
        <v>504586.42000000004</v>
      </c>
      <c r="H166" s="2">
        <v>412321.31000000006</v>
      </c>
    </row>
    <row r="167" spans="1:8">
      <c r="A167" t="s">
        <v>885</v>
      </c>
      <c r="B167" t="s">
        <v>11</v>
      </c>
      <c r="C167" s="1" t="s">
        <v>10</v>
      </c>
      <c r="D167" t="s">
        <v>1263</v>
      </c>
      <c r="E167" s="5">
        <v>1503357.39</v>
      </c>
      <c r="F167" s="5">
        <v>1267891.3400000001</v>
      </c>
      <c r="G167" s="2">
        <v>77378.959999999992</v>
      </c>
      <c r="H167" s="2">
        <v>6995.25</v>
      </c>
    </row>
    <row r="168" spans="1:8">
      <c r="A168" t="s">
        <v>886</v>
      </c>
      <c r="B168" t="s">
        <v>354</v>
      </c>
      <c r="C168" s="1" t="s">
        <v>353</v>
      </c>
      <c r="D168" t="s">
        <v>1433</v>
      </c>
      <c r="E168" s="5">
        <v>56113.199999999983</v>
      </c>
      <c r="F168" s="5">
        <v>56113.2</v>
      </c>
      <c r="G168" s="2">
        <v>1069177.3500000001</v>
      </c>
      <c r="H168" s="2">
        <v>546747.99</v>
      </c>
    </row>
    <row r="169" spans="1:8">
      <c r="A169" t="s">
        <v>887</v>
      </c>
      <c r="B169" t="s">
        <v>420</v>
      </c>
      <c r="C169" s="1" t="s">
        <v>419</v>
      </c>
      <c r="D169" t="s">
        <v>1433</v>
      </c>
      <c r="E169" s="5">
        <v>39654.55999999999</v>
      </c>
      <c r="F169" s="5">
        <v>39654.559999999998</v>
      </c>
      <c r="G169" s="2">
        <v>140259</v>
      </c>
      <c r="H169" s="2">
        <v>128459</v>
      </c>
    </row>
    <row r="170" spans="1:8">
      <c r="A170" t="s">
        <v>888</v>
      </c>
      <c r="B170" t="s">
        <v>478</v>
      </c>
      <c r="C170" s="1" t="s">
        <v>477</v>
      </c>
      <c r="D170" t="s">
        <v>1266</v>
      </c>
      <c r="E170" s="5">
        <v>294107.64</v>
      </c>
      <c r="F170" s="5">
        <v>229720.64</v>
      </c>
      <c r="G170" s="2">
        <v>109734.57</v>
      </c>
      <c r="H170" s="2">
        <v>11540</v>
      </c>
    </row>
    <row r="171" spans="1:8">
      <c r="A171" t="s">
        <v>889</v>
      </c>
      <c r="B171" t="s">
        <v>417</v>
      </c>
      <c r="C171" s="1" t="s">
        <v>416</v>
      </c>
      <c r="D171" t="s">
        <v>1433</v>
      </c>
      <c r="E171" s="5">
        <v>38077.800000000003</v>
      </c>
      <c r="F171" s="5">
        <v>38077.800000000003</v>
      </c>
      <c r="G171" s="2">
        <v>194760.84</v>
      </c>
      <c r="H171" s="2">
        <v>194518.88000000003</v>
      </c>
    </row>
    <row r="172" spans="1:8">
      <c r="A172" t="s">
        <v>890</v>
      </c>
      <c r="B172" t="s">
        <v>382</v>
      </c>
      <c r="C172" s="1" t="s">
        <v>381</v>
      </c>
      <c r="D172" t="s">
        <v>1268</v>
      </c>
      <c r="E172" s="5">
        <v>146786.34</v>
      </c>
      <c r="F172" s="5">
        <v>146786.34</v>
      </c>
      <c r="G172" s="2">
        <v>166000</v>
      </c>
      <c r="H172" s="2">
        <v>164474.62</v>
      </c>
    </row>
    <row r="173" spans="1:8">
      <c r="A173" t="s">
        <v>891</v>
      </c>
      <c r="B173" t="s">
        <v>569</v>
      </c>
      <c r="C173" s="1" t="s">
        <v>568</v>
      </c>
      <c r="D173" t="s">
        <v>1269</v>
      </c>
      <c r="E173" s="5">
        <v>26155</v>
      </c>
      <c r="F173" s="5">
        <v>26155</v>
      </c>
      <c r="G173" s="2">
        <v>821931</v>
      </c>
      <c r="H173" s="2">
        <v>0</v>
      </c>
    </row>
    <row r="174" spans="1:8">
      <c r="A174" t="s">
        <v>892</v>
      </c>
      <c r="B174" t="s">
        <v>1462</v>
      </c>
      <c r="C174" s="1" t="s">
        <v>1463</v>
      </c>
      <c r="D174" t="s">
        <v>1464</v>
      </c>
      <c r="E174" s="5">
        <v>56000</v>
      </c>
      <c r="G174" s="2">
        <v>12055</v>
      </c>
      <c r="H174" s="2">
        <v>12055</v>
      </c>
    </row>
    <row r="175" spans="1:8">
      <c r="A175" t="s">
        <v>893</v>
      </c>
      <c r="B175" t="s">
        <v>585</v>
      </c>
      <c r="C175" s="1" t="s">
        <v>584</v>
      </c>
      <c r="D175" t="s">
        <v>1270</v>
      </c>
      <c r="E175" s="5">
        <v>48292</v>
      </c>
      <c r="F175" s="5">
        <v>45792</v>
      </c>
      <c r="G175" s="2">
        <v>2391913.9800000004</v>
      </c>
      <c r="H175" s="2">
        <v>1825258.72</v>
      </c>
    </row>
    <row r="176" spans="1:8">
      <c r="A176" t="s">
        <v>894</v>
      </c>
      <c r="B176" t="s">
        <v>1465</v>
      </c>
      <c r="C176" s="1" t="s">
        <v>1466</v>
      </c>
      <c r="D176" t="s">
        <v>1467</v>
      </c>
      <c r="E176" s="5">
        <v>97000</v>
      </c>
      <c r="G176" s="2">
        <v>109324.18</v>
      </c>
      <c r="H176" s="2">
        <v>100453.18</v>
      </c>
    </row>
    <row r="177" spans="1:8">
      <c r="A177" t="s">
        <v>895</v>
      </c>
      <c r="B177" t="s">
        <v>486</v>
      </c>
      <c r="C177" s="1" t="s">
        <v>485</v>
      </c>
      <c r="D177" t="s">
        <v>1271</v>
      </c>
      <c r="E177" s="5">
        <v>2484051.8200000003</v>
      </c>
      <c r="F177" s="5">
        <v>1157985.17</v>
      </c>
      <c r="G177" s="2">
        <v>142714.5</v>
      </c>
      <c r="H177" s="2">
        <v>142714.5</v>
      </c>
    </row>
    <row r="178" spans="1:8">
      <c r="A178" t="s">
        <v>896</v>
      </c>
      <c r="B178" t="s">
        <v>379</v>
      </c>
      <c r="C178" s="1" t="s">
        <v>378</v>
      </c>
      <c r="D178" t="s">
        <v>1272</v>
      </c>
      <c r="E178" s="5">
        <v>799841</v>
      </c>
      <c r="F178" s="5">
        <v>748430.14000000013</v>
      </c>
      <c r="G178" s="2">
        <v>1897074.5199999996</v>
      </c>
      <c r="H178" s="2">
        <v>1695636.57</v>
      </c>
    </row>
    <row r="179" spans="1:8">
      <c r="A179" t="s">
        <v>897</v>
      </c>
      <c r="B179" t="s">
        <v>567</v>
      </c>
      <c r="C179" s="1" t="s">
        <v>566</v>
      </c>
      <c r="D179" t="s">
        <v>1273</v>
      </c>
      <c r="E179" s="5">
        <v>17550</v>
      </c>
      <c r="F179" s="5">
        <v>17550</v>
      </c>
      <c r="G179" s="2">
        <v>888705.01</v>
      </c>
      <c r="H179" s="2">
        <v>880476.01</v>
      </c>
    </row>
    <row r="180" spans="1:8">
      <c r="A180" t="s">
        <v>898</v>
      </c>
      <c r="B180" t="s">
        <v>494</v>
      </c>
      <c r="C180" s="1" t="s">
        <v>493</v>
      </c>
      <c r="D180" t="s">
        <v>1274</v>
      </c>
      <c r="E180" s="5">
        <v>73186.78</v>
      </c>
      <c r="F180" s="5">
        <v>73186.78</v>
      </c>
      <c r="G180" s="2">
        <v>261955.77000000002</v>
      </c>
      <c r="H180" s="2">
        <v>261955.77</v>
      </c>
    </row>
    <row r="181" spans="1:8">
      <c r="A181" t="s">
        <v>899</v>
      </c>
      <c r="B181" t="s">
        <v>377</v>
      </c>
      <c r="C181" s="1" t="s">
        <v>376</v>
      </c>
      <c r="D181" t="s">
        <v>1433</v>
      </c>
      <c r="E181" s="5">
        <v>34572.270000000004</v>
      </c>
      <c r="F181" s="5">
        <v>34572.270000000004</v>
      </c>
      <c r="G181" s="2">
        <v>6532343.2199999997</v>
      </c>
      <c r="H181" s="2">
        <v>1531871.89</v>
      </c>
    </row>
    <row r="182" spans="1:8">
      <c r="A182" t="s">
        <v>900</v>
      </c>
      <c r="B182" t="s">
        <v>13</v>
      </c>
      <c r="C182" s="1" t="s">
        <v>12</v>
      </c>
      <c r="D182" t="s">
        <v>1276</v>
      </c>
      <c r="E182" s="5">
        <v>1963897.3199999998</v>
      </c>
      <c r="F182" s="5">
        <v>1963897.3200000003</v>
      </c>
      <c r="G182" s="2">
        <v>4860259.2799999993</v>
      </c>
      <c r="H182" s="2">
        <v>2176111.5499999998</v>
      </c>
    </row>
    <row r="183" spans="1:8">
      <c r="A183" t="s">
        <v>901</v>
      </c>
      <c r="B183" t="s">
        <v>222</v>
      </c>
      <c r="C183" s="1" t="s">
        <v>221</v>
      </c>
      <c r="D183" t="s">
        <v>1277</v>
      </c>
      <c r="E183" s="5">
        <v>396312.42999999993</v>
      </c>
      <c r="F183" s="5">
        <v>396312.42999999993</v>
      </c>
      <c r="G183" s="2">
        <v>81444.61</v>
      </c>
      <c r="H183" s="2">
        <v>73371.61</v>
      </c>
    </row>
    <row r="184" spans="1:8">
      <c r="A184" t="s">
        <v>902</v>
      </c>
      <c r="B184" t="s">
        <v>222</v>
      </c>
      <c r="C184" s="1" t="s">
        <v>256</v>
      </c>
      <c r="D184" t="s">
        <v>1277</v>
      </c>
      <c r="E184" s="5">
        <v>284996.25</v>
      </c>
      <c r="F184" s="5">
        <v>284996.25000000006</v>
      </c>
      <c r="G184" s="2">
        <v>524061.76</v>
      </c>
      <c r="H184" s="2">
        <v>524061.76</v>
      </c>
    </row>
    <row r="185" spans="1:8">
      <c r="A185" t="s">
        <v>903</v>
      </c>
      <c r="B185" t="s">
        <v>351</v>
      </c>
      <c r="C185" s="1" t="s">
        <v>350</v>
      </c>
      <c r="D185" t="s">
        <v>1278</v>
      </c>
      <c r="E185" s="5">
        <v>500745.98</v>
      </c>
      <c r="F185" s="5">
        <v>500745.98</v>
      </c>
      <c r="G185" s="2">
        <v>666333.9</v>
      </c>
      <c r="H185" s="2">
        <v>53068.1</v>
      </c>
    </row>
    <row r="186" spans="1:8">
      <c r="A186" t="s">
        <v>904</v>
      </c>
      <c r="B186" t="s">
        <v>351</v>
      </c>
      <c r="C186" s="1" t="s">
        <v>392</v>
      </c>
      <c r="D186" t="s">
        <v>1278</v>
      </c>
      <c r="E186" s="5">
        <v>77378.959999999992</v>
      </c>
      <c r="F186" s="5">
        <v>60387.360000000001</v>
      </c>
      <c r="G186" s="2">
        <v>551044</v>
      </c>
      <c r="H186" s="2">
        <v>546484</v>
      </c>
    </row>
    <row r="187" spans="1:8">
      <c r="A187" t="s">
        <v>905</v>
      </c>
      <c r="B187" t="s">
        <v>406</v>
      </c>
      <c r="C187" s="1" t="s">
        <v>405</v>
      </c>
      <c r="D187" t="s">
        <v>1279</v>
      </c>
      <c r="E187" s="5">
        <v>1069177.3499999992</v>
      </c>
      <c r="F187" s="5">
        <v>955287.19000000006</v>
      </c>
      <c r="G187" s="2">
        <v>638588.62999999989</v>
      </c>
      <c r="H187" s="2">
        <v>637857.46999999986</v>
      </c>
    </row>
    <row r="188" spans="1:8">
      <c r="A188" t="s">
        <v>906</v>
      </c>
      <c r="B188" t="s">
        <v>460</v>
      </c>
      <c r="C188" s="1" t="s">
        <v>481</v>
      </c>
      <c r="D188" t="s">
        <v>1280</v>
      </c>
      <c r="E188" s="5">
        <v>139108.56000000003</v>
      </c>
      <c r="F188" s="5">
        <v>139108.56</v>
      </c>
      <c r="G188" s="2">
        <v>774000</v>
      </c>
      <c r="H188" s="2">
        <v>774000</v>
      </c>
    </row>
    <row r="189" spans="1:8">
      <c r="A189" t="s">
        <v>907</v>
      </c>
      <c r="B189" t="s">
        <v>460</v>
      </c>
      <c r="C189" s="1" t="s">
        <v>459</v>
      </c>
      <c r="D189" t="s">
        <v>1280</v>
      </c>
      <c r="E189" s="5">
        <v>109734.57</v>
      </c>
      <c r="F189" s="5">
        <v>94283.97</v>
      </c>
      <c r="G189" s="2">
        <v>20745</v>
      </c>
      <c r="H189" s="2">
        <v>20745</v>
      </c>
    </row>
    <row r="190" spans="1:8">
      <c r="A190" t="s">
        <v>908</v>
      </c>
      <c r="B190" t="s">
        <v>224</v>
      </c>
      <c r="C190" s="1" t="s">
        <v>223</v>
      </c>
      <c r="D190" t="s">
        <v>1281</v>
      </c>
      <c r="E190" s="5">
        <v>194518.87999999998</v>
      </c>
      <c r="F190" s="5">
        <v>194518.88</v>
      </c>
      <c r="G190" s="2">
        <v>74999.33</v>
      </c>
      <c r="H190" s="2">
        <v>32218.100000000002</v>
      </c>
    </row>
    <row r="191" spans="1:8">
      <c r="A191" t="s">
        <v>909</v>
      </c>
      <c r="B191" t="s">
        <v>627</v>
      </c>
      <c r="C191" s="1" t="s">
        <v>626</v>
      </c>
      <c r="D191" t="s">
        <v>1282</v>
      </c>
      <c r="E191" s="5">
        <v>165797.57999999999</v>
      </c>
      <c r="F191" s="5">
        <v>165797.57999999999</v>
      </c>
      <c r="G191" s="2">
        <v>95119</v>
      </c>
      <c r="H191" s="2">
        <v>90559</v>
      </c>
    </row>
    <row r="192" spans="1:8">
      <c r="A192" t="s">
        <v>910</v>
      </c>
      <c r="B192" t="s">
        <v>501</v>
      </c>
      <c r="C192" s="1" t="s">
        <v>405</v>
      </c>
      <c r="D192" t="s">
        <v>1279</v>
      </c>
      <c r="E192" s="5">
        <v>821931</v>
      </c>
      <c r="F192" s="5">
        <v>821115.64</v>
      </c>
      <c r="G192" s="2">
        <v>95119</v>
      </c>
      <c r="H192" s="2">
        <v>90559</v>
      </c>
    </row>
    <row r="193" spans="1:8">
      <c r="A193" t="s">
        <v>911</v>
      </c>
      <c r="B193" t="s">
        <v>529</v>
      </c>
      <c r="C193" s="1" t="s">
        <v>405</v>
      </c>
      <c r="D193" t="s">
        <v>1279</v>
      </c>
      <c r="E193" s="5">
        <v>12055.000000000004</v>
      </c>
      <c r="F193" s="5">
        <v>12055</v>
      </c>
      <c r="G193" s="2">
        <v>2705925.0900000003</v>
      </c>
      <c r="H193" s="2">
        <v>2192952.59</v>
      </c>
    </row>
    <row r="194" spans="1:8">
      <c r="A194" t="s">
        <v>912</v>
      </c>
      <c r="B194" t="s">
        <v>170</v>
      </c>
      <c r="C194" s="1" t="s">
        <v>169</v>
      </c>
      <c r="D194" t="s">
        <v>1283</v>
      </c>
      <c r="E194" s="5">
        <v>2391913.9799999991</v>
      </c>
      <c r="F194" s="5">
        <v>2384768.5399999996</v>
      </c>
      <c r="G194" s="2">
        <v>29411</v>
      </c>
      <c r="H194" s="2">
        <v>29411.000000000004</v>
      </c>
    </row>
    <row r="195" spans="1:8">
      <c r="A195" t="s">
        <v>913</v>
      </c>
      <c r="B195" t="s">
        <v>170</v>
      </c>
      <c r="C195" s="1" t="s">
        <v>407</v>
      </c>
      <c r="D195" t="s">
        <v>1283</v>
      </c>
      <c r="E195" s="5">
        <v>109324.18</v>
      </c>
      <c r="F195" s="5">
        <v>100453.18</v>
      </c>
      <c r="G195" s="2">
        <v>104225.42</v>
      </c>
      <c r="H195" s="2">
        <v>99665.42</v>
      </c>
    </row>
    <row r="196" spans="1:8">
      <c r="A196" t="s">
        <v>914</v>
      </c>
      <c r="B196" t="s">
        <v>688</v>
      </c>
      <c r="C196" s="1" t="s">
        <v>687</v>
      </c>
      <c r="D196" t="s">
        <v>1284</v>
      </c>
      <c r="E196" s="5">
        <v>142714.5</v>
      </c>
      <c r="F196" s="5">
        <v>142714.5</v>
      </c>
      <c r="G196" s="2">
        <v>29788</v>
      </c>
      <c r="H196" s="2">
        <v>29788</v>
      </c>
    </row>
    <row r="197" spans="1:8">
      <c r="A197" t="s">
        <v>915</v>
      </c>
      <c r="B197" t="s">
        <v>179</v>
      </c>
      <c r="C197" s="1" t="s">
        <v>186</v>
      </c>
      <c r="D197" t="s">
        <v>1285</v>
      </c>
      <c r="E197" s="5">
        <v>1897074.5199999998</v>
      </c>
      <c r="F197" s="5">
        <v>1897074.5199999998</v>
      </c>
      <c r="G197" s="2">
        <v>31147.399999999994</v>
      </c>
      <c r="H197" s="2">
        <v>31147.4</v>
      </c>
    </row>
    <row r="198" spans="1:8">
      <c r="A198" t="s">
        <v>916</v>
      </c>
      <c r="B198" t="s">
        <v>179</v>
      </c>
      <c r="C198" s="1" t="s">
        <v>178</v>
      </c>
      <c r="D198" t="s">
        <v>1285</v>
      </c>
      <c r="E198" s="5">
        <v>888705.01000000013</v>
      </c>
      <c r="F198" s="5">
        <v>880476.01</v>
      </c>
      <c r="G198" s="2">
        <v>469874.11999999988</v>
      </c>
      <c r="H198" s="2">
        <v>469874.12</v>
      </c>
    </row>
    <row r="199" spans="1:8">
      <c r="A199" t="s">
        <v>917</v>
      </c>
      <c r="B199" t="s">
        <v>686</v>
      </c>
      <c r="C199" s="1" t="s">
        <v>685</v>
      </c>
      <c r="D199" t="s">
        <v>1286</v>
      </c>
      <c r="E199" s="5">
        <v>261955.77000000005</v>
      </c>
      <c r="F199" s="5">
        <v>261955.77</v>
      </c>
      <c r="G199" s="2">
        <v>78340.42</v>
      </c>
      <c r="H199" s="2">
        <v>73780.42</v>
      </c>
    </row>
    <row r="200" spans="1:8">
      <c r="A200" t="s">
        <v>918</v>
      </c>
      <c r="B200" t="s">
        <v>418</v>
      </c>
      <c r="C200" s="1" t="s">
        <v>363</v>
      </c>
      <c r="D200" t="s">
        <v>1287</v>
      </c>
      <c r="E200" s="5">
        <v>6309371.8899999987</v>
      </c>
      <c r="F200" s="5">
        <v>2029949.05</v>
      </c>
      <c r="G200" s="2">
        <v>229093.7</v>
      </c>
      <c r="H200" s="2">
        <v>229093.7</v>
      </c>
    </row>
    <row r="201" spans="1:8">
      <c r="A201" t="s">
        <v>919</v>
      </c>
      <c r="B201" t="s">
        <v>418</v>
      </c>
      <c r="C201" s="1" t="s">
        <v>425</v>
      </c>
      <c r="D201" t="s">
        <v>1287</v>
      </c>
      <c r="E201" s="5">
        <v>4117211.46</v>
      </c>
      <c r="F201" s="5">
        <v>3028817.0599999996</v>
      </c>
      <c r="G201" s="2">
        <v>196845.41999999998</v>
      </c>
      <c r="H201" s="2">
        <v>187985.42</v>
      </c>
    </row>
    <row r="202" spans="1:8">
      <c r="A202" t="s">
        <v>921</v>
      </c>
      <c r="B202" t="s">
        <v>384</v>
      </c>
      <c r="C202" s="1" t="s">
        <v>383</v>
      </c>
      <c r="D202" t="s">
        <v>1288</v>
      </c>
      <c r="E202" s="5">
        <v>81444.61000000003</v>
      </c>
      <c r="F202" s="5">
        <v>73371.61</v>
      </c>
      <c r="G202" s="2">
        <v>481971.65999999992</v>
      </c>
      <c r="H202" s="2">
        <v>481971.66000000003</v>
      </c>
    </row>
    <row r="203" spans="1:8">
      <c r="A203" t="s">
        <v>922</v>
      </c>
      <c r="B203" t="s">
        <v>667</v>
      </c>
      <c r="C203" s="1" t="s">
        <v>666</v>
      </c>
      <c r="D203" t="s">
        <v>1289</v>
      </c>
      <c r="E203" s="5">
        <v>524061.76</v>
      </c>
      <c r="F203" s="5">
        <v>524061.76</v>
      </c>
      <c r="G203" s="2">
        <v>36338.420000000006</v>
      </c>
      <c r="H203" s="2">
        <v>36338.42</v>
      </c>
    </row>
    <row r="204" spans="1:8">
      <c r="A204" t="s">
        <v>923</v>
      </c>
      <c r="B204" t="s">
        <v>364</v>
      </c>
      <c r="C204" s="1" t="s">
        <v>363</v>
      </c>
      <c r="D204" t="s">
        <v>1287</v>
      </c>
      <c r="E204" s="5">
        <v>666333.9</v>
      </c>
      <c r="F204" s="5">
        <v>185764.1</v>
      </c>
      <c r="G204" s="2">
        <v>164859.40000000002</v>
      </c>
      <c r="H204" s="2">
        <v>164859.4</v>
      </c>
    </row>
    <row r="205" spans="1:8">
      <c r="A205" t="s">
        <v>924</v>
      </c>
      <c r="B205" t="s">
        <v>389</v>
      </c>
      <c r="C205" s="1" t="s">
        <v>388</v>
      </c>
      <c r="D205" t="s">
        <v>1295</v>
      </c>
      <c r="E205" s="5">
        <v>551044</v>
      </c>
      <c r="F205" s="5">
        <v>546484</v>
      </c>
      <c r="G205" s="2">
        <v>515026.94999999995</v>
      </c>
      <c r="H205" s="2">
        <v>515026.95</v>
      </c>
    </row>
    <row r="206" spans="1:8">
      <c r="A206" t="s">
        <v>925</v>
      </c>
      <c r="B206" t="s">
        <v>98</v>
      </c>
      <c r="C206" s="1" t="s">
        <v>97</v>
      </c>
      <c r="D206" t="s">
        <v>1291</v>
      </c>
      <c r="E206" s="5">
        <v>638588.62999999989</v>
      </c>
      <c r="F206" s="5">
        <v>638588.63</v>
      </c>
      <c r="G206" s="2">
        <v>36338.42</v>
      </c>
      <c r="H206" s="2">
        <v>36338.42</v>
      </c>
    </row>
    <row r="207" spans="1:8">
      <c r="A207" t="s">
        <v>926</v>
      </c>
      <c r="B207" t="s">
        <v>98</v>
      </c>
      <c r="C207" s="1" t="s">
        <v>395</v>
      </c>
      <c r="D207" t="s">
        <v>1291</v>
      </c>
      <c r="E207" s="5">
        <v>774000</v>
      </c>
      <c r="F207" s="5">
        <v>774000</v>
      </c>
      <c r="G207" s="2">
        <v>142175.41999999998</v>
      </c>
      <c r="H207" s="2">
        <v>137615.42000000001</v>
      </c>
    </row>
    <row r="208" spans="1:8">
      <c r="A208" t="s">
        <v>927</v>
      </c>
      <c r="B208" t="s">
        <v>98</v>
      </c>
      <c r="C208" s="1" t="s">
        <v>689</v>
      </c>
      <c r="D208" t="s">
        <v>1291</v>
      </c>
      <c r="E208" s="5">
        <v>20745</v>
      </c>
      <c r="F208" s="5">
        <v>20745</v>
      </c>
      <c r="G208" s="2">
        <v>604956.82999999984</v>
      </c>
      <c r="H208" s="2">
        <v>604956.83000000007</v>
      </c>
    </row>
    <row r="209" spans="1:8">
      <c r="A209" t="s">
        <v>928</v>
      </c>
      <c r="B209" t="s">
        <v>522</v>
      </c>
      <c r="C209" s="1" t="s">
        <v>521</v>
      </c>
      <c r="D209" t="s">
        <v>1439</v>
      </c>
      <c r="E209" s="5">
        <v>36600.5</v>
      </c>
      <c r="F209" s="5">
        <v>36600.499999999993</v>
      </c>
      <c r="G209" s="2">
        <v>36338.420000000006</v>
      </c>
      <c r="H209" s="2">
        <v>36338.42</v>
      </c>
    </row>
    <row r="210" spans="1:8">
      <c r="A210" t="s">
        <v>929</v>
      </c>
      <c r="B210" t="s">
        <v>361</v>
      </c>
      <c r="C210" s="1" t="s">
        <v>360</v>
      </c>
      <c r="D210" t="s">
        <v>1295</v>
      </c>
      <c r="E210" s="5">
        <v>95119</v>
      </c>
      <c r="F210" s="5">
        <v>90559</v>
      </c>
      <c r="G210" s="2">
        <v>557721.82000000007</v>
      </c>
      <c r="H210" s="2">
        <v>557721.81999999995</v>
      </c>
    </row>
    <row r="211" spans="1:8">
      <c r="A211" t="s">
        <v>930</v>
      </c>
      <c r="B211" t="s">
        <v>467</v>
      </c>
      <c r="C211" s="1" t="s">
        <v>466</v>
      </c>
      <c r="D211" t="s">
        <v>1295</v>
      </c>
      <c r="E211" s="5">
        <v>95119</v>
      </c>
      <c r="F211" s="5">
        <v>90559</v>
      </c>
      <c r="G211" s="2">
        <v>14587.399999999996</v>
      </c>
      <c r="H211" s="2">
        <v>14587.4</v>
      </c>
    </row>
    <row r="212" spans="1:8">
      <c r="A212" t="s">
        <v>931</v>
      </c>
      <c r="B212" t="s">
        <v>263</v>
      </c>
      <c r="C212" s="1" t="s">
        <v>262</v>
      </c>
      <c r="D212" t="s">
        <v>1294</v>
      </c>
      <c r="E212" s="5">
        <v>2705912</v>
      </c>
      <c r="F212" s="5">
        <v>2648340.5</v>
      </c>
      <c r="G212" s="2">
        <v>583740</v>
      </c>
      <c r="H212" s="2">
        <v>583740</v>
      </c>
    </row>
    <row r="213" spans="1:8">
      <c r="A213" t="s">
        <v>932</v>
      </c>
      <c r="B213" t="s">
        <v>444</v>
      </c>
      <c r="C213" s="1" t="s">
        <v>443</v>
      </c>
      <c r="D213" t="s">
        <v>1295</v>
      </c>
      <c r="E213" s="5">
        <v>29411</v>
      </c>
      <c r="F213" s="5">
        <v>29411</v>
      </c>
      <c r="G213" s="2">
        <v>36338.420000000006</v>
      </c>
      <c r="H213" s="2">
        <v>36338.42</v>
      </c>
    </row>
    <row r="214" spans="1:8">
      <c r="A214" t="s">
        <v>937</v>
      </c>
      <c r="B214" t="s">
        <v>489</v>
      </c>
      <c r="C214" s="1" t="s">
        <v>488</v>
      </c>
      <c r="D214" t="s">
        <v>1295</v>
      </c>
      <c r="E214" s="5">
        <v>104225.41999999998</v>
      </c>
      <c r="F214" s="5">
        <v>99665.42</v>
      </c>
      <c r="G214" s="2">
        <v>183565.37</v>
      </c>
      <c r="H214" s="2">
        <v>183565.36999999997</v>
      </c>
    </row>
    <row r="215" spans="1:8">
      <c r="A215" t="s">
        <v>938</v>
      </c>
      <c r="B215" t="s">
        <v>505</v>
      </c>
      <c r="C215" s="1" t="s">
        <v>504</v>
      </c>
      <c r="D215" t="s">
        <v>1295</v>
      </c>
      <c r="E215" s="5">
        <v>29788</v>
      </c>
      <c r="F215" s="5">
        <v>29788</v>
      </c>
      <c r="G215" s="2">
        <v>167471.70000000001</v>
      </c>
      <c r="H215" s="2">
        <v>167471.69999999998</v>
      </c>
    </row>
    <row r="216" spans="1:8">
      <c r="A216" t="s">
        <v>939</v>
      </c>
      <c r="B216" t="s">
        <v>441</v>
      </c>
      <c r="C216" s="1" t="s">
        <v>440</v>
      </c>
      <c r="D216" t="s">
        <v>1295</v>
      </c>
      <c r="E216" s="5">
        <v>31147.4</v>
      </c>
      <c r="F216" s="5">
        <v>31147.4</v>
      </c>
      <c r="G216" s="2">
        <v>76017</v>
      </c>
      <c r="H216" s="2">
        <v>76017</v>
      </c>
    </row>
    <row r="217" spans="1:8">
      <c r="A217" t="s">
        <v>940</v>
      </c>
      <c r="B217" t="s">
        <v>198</v>
      </c>
      <c r="C217" s="1" t="s">
        <v>197</v>
      </c>
      <c r="D217" t="s">
        <v>1297</v>
      </c>
      <c r="E217" s="5">
        <v>469874.12</v>
      </c>
      <c r="F217" s="5">
        <v>469874.12</v>
      </c>
      <c r="G217" s="2">
        <v>165614.97</v>
      </c>
      <c r="H217" s="2">
        <v>165614.97</v>
      </c>
    </row>
    <row r="218" spans="1:8">
      <c r="A218" t="s">
        <v>941</v>
      </c>
      <c r="B218" t="s">
        <v>198</v>
      </c>
      <c r="C218" s="1" t="s">
        <v>429</v>
      </c>
      <c r="D218" t="s">
        <v>1295</v>
      </c>
      <c r="E218" s="5">
        <v>78340.420000000013</v>
      </c>
      <c r="F218" s="5">
        <v>73780.42</v>
      </c>
      <c r="G218" s="2">
        <v>40115</v>
      </c>
      <c r="H218" s="2">
        <v>1897.8</v>
      </c>
    </row>
    <row r="219" spans="1:8">
      <c r="A219" t="s">
        <v>942</v>
      </c>
      <c r="B219" t="s">
        <v>198</v>
      </c>
      <c r="C219" s="1" t="s">
        <v>428</v>
      </c>
      <c r="D219" t="s">
        <v>1298</v>
      </c>
      <c r="E219" s="5">
        <v>229093.7</v>
      </c>
      <c r="F219" s="5">
        <v>229093.70000000004</v>
      </c>
      <c r="G219" s="2">
        <v>59927</v>
      </c>
      <c r="H219" s="2">
        <v>26476.45</v>
      </c>
    </row>
    <row r="220" spans="1:8">
      <c r="A220" t="s">
        <v>943</v>
      </c>
      <c r="B220" t="s">
        <v>435</v>
      </c>
      <c r="C220" s="1" t="s">
        <v>434</v>
      </c>
      <c r="D220" t="s">
        <v>1295</v>
      </c>
      <c r="E220" s="5">
        <v>196845.42000000004</v>
      </c>
      <c r="F220" s="5">
        <v>187985.42</v>
      </c>
      <c r="G220" s="2">
        <v>3119698.59</v>
      </c>
      <c r="H220" s="2">
        <v>935732.59</v>
      </c>
    </row>
    <row r="221" spans="1:8">
      <c r="A221" t="s">
        <v>944</v>
      </c>
      <c r="B221" t="s">
        <v>397</v>
      </c>
      <c r="C221" s="1" t="s">
        <v>396</v>
      </c>
      <c r="D221" t="s">
        <v>1295</v>
      </c>
      <c r="E221" s="5">
        <v>36338.42</v>
      </c>
      <c r="F221" s="5">
        <v>36338.42</v>
      </c>
      <c r="G221" s="2">
        <v>795520.6</v>
      </c>
      <c r="H221" s="2">
        <v>46617.510000000009</v>
      </c>
    </row>
    <row r="222" spans="1:8">
      <c r="A222" t="s">
        <v>945</v>
      </c>
      <c r="B222" t="s">
        <v>204</v>
      </c>
      <c r="C222" s="1" t="s">
        <v>203</v>
      </c>
      <c r="D222" t="s">
        <v>1297</v>
      </c>
      <c r="E222" s="5">
        <v>481971.66</v>
      </c>
      <c r="F222" s="5">
        <v>481971.66000000003</v>
      </c>
      <c r="G222" s="2">
        <v>76547</v>
      </c>
      <c r="H222" s="2">
        <v>20497</v>
      </c>
    </row>
    <row r="223" spans="1:8">
      <c r="A223" t="s">
        <v>946</v>
      </c>
      <c r="B223" t="s">
        <v>204</v>
      </c>
      <c r="C223" s="1" t="s">
        <v>513</v>
      </c>
      <c r="D223" t="s">
        <v>1295</v>
      </c>
      <c r="E223" s="5">
        <v>36338.42</v>
      </c>
      <c r="F223" s="5">
        <v>36338.42</v>
      </c>
      <c r="G223" s="2">
        <v>52737</v>
      </c>
      <c r="H223" s="2">
        <v>4747.6499999999996</v>
      </c>
    </row>
    <row r="224" spans="1:8">
      <c r="A224" t="s">
        <v>947</v>
      </c>
      <c r="B224" t="s">
        <v>204</v>
      </c>
      <c r="C224" s="1" t="s">
        <v>492</v>
      </c>
      <c r="D224" t="s">
        <v>1298</v>
      </c>
      <c r="E224" s="5">
        <v>164859.40000000002</v>
      </c>
      <c r="F224" s="5">
        <v>164859.39999999997</v>
      </c>
      <c r="G224" s="2">
        <v>1234236.1599999999</v>
      </c>
      <c r="H224" s="2">
        <v>540867.22</v>
      </c>
    </row>
    <row r="225" spans="1:8">
      <c r="A225" t="s">
        <v>949</v>
      </c>
      <c r="B225" t="s">
        <v>196</v>
      </c>
      <c r="C225" s="1" t="s">
        <v>195</v>
      </c>
      <c r="D225" t="s">
        <v>1297</v>
      </c>
      <c r="E225" s="5">
        <v>515026.95</v>
      </c>
      <c r="F225" s="5">
        <v>515026.95</v>
      </c>
      <c r="G225" s="2">
        <v>1853643.1400000001</v>
      </c>
      <c r="H225" s="2">
        <v>1842018.1400000001</v>
      </c>
    </row>
    <row r="226" spans="1:8">
      <c r="A226" t="s">
        <v>950</v>
      </c>
      <c r="B226" t="s">
        <v>196</v>
      </c>
      <c r="C226" s="1" t="s">
        <v>496</v>
      </c>
      <c r="D226" t="s">
        <v>1295</v>
      </c>
      <c r="E226" s="5">
        <v>36338.42</v>
      </c>
      <c r="F226" s="5">
        <v>36338.42</v>
      </c>
      <c r="G226" s="2">
        <v>53273.01</v>
      </c>
      <c r="H226" s="2">
        <v>20116.510000000002</v>
      </c>
    </row>
    <row r="227" spans="1:8">
      <c r="A227" t="s">
        <v>951</v>
      </c>
      <c r="B227" t="s">
        <v>474</v>
      </c>
      <c r="C227" s="1" t="s">
        <v>473</v>
      </c>
      <c r="D227" t="s">
        <v>1295</v>
      </c>
      <c r="E227" s="5">
        <v>142175.42000000004</v>
      </c>
      <c r="F227" s="5">
        <v>137615.42000000001</v>
      </c>
      <c r="G227" s="2">
        <v>61942.09</v>
      </c>
      <c r="H227" s="2">
        <v>48984.6</v>
      </c>
    </row>
    <row r="228" spans="1:8">
      <c r="A228" t="s">
        <v>952</v>
      </c>
      <c r="B228" t="s">
        <v>202</v>
      </c>
      <c r="C228" s="1" t="s">
        <v>201</v>
      </c>
      <c r="D228" t="s">
        <v>1299</v>
      </c>
      <c r="E228" s="5">
        <v>604956.82999999996</v>
      </c>
      <c r="F228" s="5">
        <v>604956.83000000007</v>
      </c>
      <c r="G228" s="2">
        <v>56387.729999999996</v>
      </c>
      <c r="H228" s="2">
        <v>38007.61</v>
      </c>
    </row>
    <row r="229" spans="1:8">
      <c r="A229" t="s">
        <v>954</v>
      </c>
      <c r="B229" t="s">
        <v>202</v>
      </c>
      <c r="C229" s="1" t="s">
        <v>507</v>
      </c>
      <c r="D229" t="s">
        <v>1295</v>
      </c>
      <c r="E229" s="5">
        <v>36338.42</v>
      </c>
      <c r="F229" s="5">
        <v>36338.42</v>
      </c>
      <c r="G229" s="2">
        <v>1165522.8299999998</v>
      </c>
      <c r="H229" s="2">
        <v>1080507.45</v>
      </c>
    </row>
    <row r="230" spans="1:8">
      <c r="A230" t="s">
        <v>955</v>
      </c>
      <c r="B230" t="s">
        <v>210</v>
      </c>
      <c r="C230" s="1" t="s">
        <v>209</v>
      </c>
      <c r="D230" t="s">
        <v>1299</v>
      </c>
      <c r="E230" s="5">
        <v>557721.81999999995</v>
      </c>
      <c r="F230" s="5">
        <v>557721.82000000007</v>
      </c>
      <c r="G230" s="2">
        <v>50730.000000000007</v>
      </c>
      <c r="H230" s="2">
        <v>50730.000000000007</v>
      </c>
    </row>
    <row r="231" spans="1:8">
      <c r="A231" t="s">
        <v>956</v>
      </c>
      <c r="B231" t="s">
        <v>210</v>
      </c>
      <c r="C231" s="1" t="s">
        <v>632</v>
      </c>
      <c r="D231" t="s">
        <v>1295</v>
      </c>
      <c r="E231" s="5">
        <v>14587.4</v>
      </c>
      <c r="F231" s="5">
        <v>14587.4</v>
      </c>
      <c r="G231" s="2">
        <v>446504.82</v>
      </c>
      <c r="H231" s="2">
        <v>446504.82</v>
      </c>
    </row>
    <row r="232" spans="1:8">
      <c r="A232" t="s">
        <v>957</v>
      </c>
      <c r="B232" t="s">
        <v>386</v>
      </c>
      <c r="C232" s="1" t="s">
        <v>385</v>
      </c>
      <c r="D232" t="s">
        <v>1299</v>
      </c>
      <c r="E232" s="5">
        <v>583740</v>
      </c>
      <c r="F232" s="5">
        <v>583740</v>
      </c>
      <c r="G232" s="2">
        <v>243563.64</v>
      </c>
      <c r="H232" s="2">
        <v>215940.2</v>
      </c>
    </row>
    <row r="233" spans="1:8">
      <c r="A233" t="s">
        <v>958</v>
      </c>
      <c r="B233" t="s">
        <v>386</v>
      </c>
      <c r="C233" s="1" t="s">
        <v>506</v>
      </c>
      <c r="D233" t="s">
        <v>1295</v>
      </c>
      <c r="E233" s="5">
        <v>36338.42</v>
      </c>
      <c r="F233" s="5">
        <v>36338.42</v>
      </c>
      <c r="G233" s="2">
        <v>50730.000000000007</v>
      </c>
      <c r="H233" s="2">
        <v>50730</v>
      </c>
    </row>
    <row r="234" spans="1:8">
      <c r="A234" t="s">
        <v>961</v>
      </c>
      <c r="B234" t="s">
        <v>386</v>
      </c>
      <c r="C234" s="1" t="s">
        <v>437</v>
      </c>
      <c r="D234" t="s">
        <v>1298</v>
      </c>
      <c r="E234" s="5">
        <v>117191.00000000001</v>
      </c>
      <c r="F234" s="5">
        <v>117191</v>
      </c>
      <c r="G234" s="2">
        <v>9435</v>
      </c>
      <c r="H234" s="2">
        <v>9435</v>
      </c>
    </row>
    <row r="235" spans="1:8">
      <c r="A235" t="s">
        <v>962</v>
      </c>
      <c r="B235" t="s">
        <v>366</v>
      </c>
      <c r="C235" s="1" t="s">
        <v>387</v>
      </c>
      <c r="D235" t="s">
        <v>1295</v>
      </c>
      <c r="E235" s="5">
        <v>62892.419999999984</v>
      </c>
      <c r="F235" s="5">
        <v>58332.42</v>
      </c>
      <c r="G235" s="2">
        <v>98973.88</v>
      </c>
      <c r="H235" s="2">
        <v>98973.88</v>
      </c>
    </row>
    <row r="236" spans="1:8">
      <c r="A236" t="s">
        <v>963</v>
      </c>
      <c r="B236" t="s">
        <v>366</v>
      </c>
      <c r="C236" s="1" t="s">
        <v>365</v>
      </c>
      <c r="D236" t="s">
        <v>1298</v>
      </c>
      <c r="E236" s="5">
        <v>298446</v>
      </c>
      <c r="F236" s="5">
        <v>298446</v>
      </c>
      <c r="G236" s="2">
        <v>189015.67</v>
      </c>
      <c r="H236" s="2">
        <v>20590</v>
      </c>
    </row>
    <row r="237" spans="1:8">
      <c r="A237" t="s">
        <v>968</v>
      </c>
      <c r="B237" t="s">
        <v>194</v>
      </c>
      <c r="C237" s="1" t="s">
        <v>193</v>
      </c>
      <c r="D237" t="s">
        <v>1299</v>
      </c>
      <c r="E237" s="5">
        <v>594602.98</v>
      </c>
      <c r="F237" s="5">
        <v>594602.98</v>
      </c>
      <c r="G237" s="2">
        <v>124484.10999999999</v>
      </c>
      <c r="H237" s="2">
        <v>120049.51</v>
      </c>
    </row>
    <row r="238" spans="1:8">
      <c r="A238" t="s">
        <v>969</v>
      </c>
      <c r="B238" t="s">
        <v>472</v>
      </c>
      <c r="C238" s="1" t="s">
        <v>471</v>
      </c>
      <c r="D238" t="s">
        <v>1299</v>
      </c>
      <c r="E238" s="5">
        <v>183565.36999999997</v>
      </c>
      <c r="F238" s="5">
        <v>183565.36999999997</v>
      </c>
      <c r="G238" s="2">
        <v>108656.35</v>
      </c>
      <c r="H238" s="2">
        <v>108656.35</v>
      </c>
    </row>
    <row r="239" spans="1:8">
      <c r="A239" t="s">
        <v>970</v>
      </c>
      <c r="B239" t="s">
        <v>503</v>
      </c>
      <c r="C239" s="1" t="s">
        <v>502</v>
      </c>
      <c r="D239" t="s">
        <v>1299</v>
      </c>
      <c r="E239" s="5">
        <v>167471.70000000001</v>
      </c>
      <c r="F239" s="5">
        <v>167471.69999999998</v>
      </c>
      <c r="G239" s="2">
        <v>58372.37000000001</v>
      </c>
      <c r="H239" s="2">
        <v>58372.369999999995</v>
      </c>
    </row>
    <row r="240" spans="1:8">
      <c r="A240" t="s">
        <v>971</v>
      </c>
      <c r="B240" t="s">
        <v>457</v>
      </c>
      <c r="C240" s="1" t="s">
        <v>456</v>
      </c>
      <c r="D240" t="s">
        <v>1299</v>
      </c>
      <c r="E240" s="5">
        <v>76017</v>
      </c>
      <c r="F240" s="5">
        <v>76017</v>
      </c>
      <c r="G240" s="2">
        <v>750722.64999999991</v>
      </c>
      <c r="H240" s="2">
        <v>750722.64999999991</v>
      </c>
    </row>
    <row r="241" spans="1:8">
      <c r="A241" t="s">
        <v>972</v>
      </c>
      <c r="B241" t="s">
        <v>200</v>
      </c>
      <c r="C241" s="1" t="s">
        <v>199</v>
      </c>
      <c r="D241" t="s">
        <v>1297</v>
      </c>
      <c r="E241" s="5">
        <v>165614.97</v>
      </c>
      <c r="F241" s="5">
        <v>165614.97</v>
      </c>
      <c r="G241" s="2">
        <v>37077.370000000003</v>
      </c>
      <c r="H241" s="2">
        <v>37077.370000000003</v>
      </c>
    </row>
    <row r="242" spans="1:8">
      <c r="A242" t="s">
        <v>973</v>
      </c>
      <c r="B242" t="s">
        <v>618</v>
      </c>
      <c r="C242" s="1" t="s">
        <v>617</v>
      </c>
      <c r="D242" t="s">
        <v>1301</v>
      </c>
      <c r="E242" s="5">
        <v>23839</v>
      </c>
      <c r="F242" s="5">
        <v>21680</v>
      </c>
      <c r="G242" s="2">
        <v>140267.37000000005</v>
      </c>
      <c r="H242" s="2">
        <v>140267.37</v>
      </c>
    </row>
    <row r="243" spans="1:8">
      <c r="A243" t="s">
        <v>974</v>
      </c>
      <c r="B243" t="s">
        <v>284</v>
      </c>
      <c r="C243" s="1" t="s">
        <v>283</v>
      </c>
      <c r="D243" t="s">
        <v>1302</v>
      </c>
      <c r="E243" s="5">
        <v>80178.539999999994</v>
      </c>
      <c r="F243" s="5">
        <v>78019.540000000008</v>
      </c>
      <c r="G243" s="2">
        <v>686760.3899999999</v>
      </c>
      <c r="H243" s="2">
        <v>686760.3899999999</v>
      </c>
    </row>
    <row r="244" spans="1:8">
      <c r="A244" t="s">
        <v>975</v>
      </c>
      <c r="B244" t="s">
        <v>630</v>
      </c>
      <c r="C244" s="1" t="s">
        <v>629</v>
      </c>
      <c r="D244" t="s">
        <v>1303</v>
      </c>
      <c r="E244" s="5">
        <v>3119698.59</v>
      </c>
      <c r="F244" s="5">
        <v>1500851.5899999999</v>
      </c>
      <c r="G244" s="2">
        <v>9435</v>
      </c>
      <c r="H244" s="2">
        <v>9435</v>
      </c>
    </row>
    <row r="245" spans="1:8">
      <c r="A245" t="s">
        <v>976</v>
      </c>
      <c r="B245" t="s">
        <v>183</v>
      </c>
      <c r="C245" s="1" t="s">
        <v>182</v>
      </c>
      <c r="D245" t="s">
        <v>1304</v>
      </c>
      <c r="E245" s="5">
        <v>763420.59999999974</v>
      </c>
      <c r="F245" s="5">
        <v>763420.60000000009</v>
      </c>
      <c r="G245" s="2">
        <v>268791.1700000001</v>
      </c>
      <c r="H245" s="2">
        <v>268791.17000000004</v>
      </c>
    </row>
    <row r="246" spans="1:8">
      <c r="A246" t="s">
        <v>977</v>
      </c>
      <c r="B246" t="s">
        <v>183</v>
      </c>
      <c r="C246" s="1" t="s">
        <v>422</v>
      </c>
      <c r="D246" t="s">
        <v>1304</v>
      </c>
      <c r="E246" s="5">
        <v>80928.639999999999</v>
      </c>
      <c r="F246" s="5">
        <v>79721.64</v>
      </c>
      <c r="G246" s="2">
        <v>132120.1</v>
      </c>
      <c r="H246" s="2">
        <v>132120.1</v>
      </c>
    </row>
    <row r="247" spans="1:8">
      <c r="A247" t="s">
        <v>978</v>
      </c>
      <c r="B247" t="s">
        <v>177</v>
      </c>
      <c r="C247" s="1" t="s">
        <v>398</v>
      </c>
      <c r="D247" t="s">
        <v>1305</v>
      </c>
      <c r="E247" s="5">
        <v>62766.66</v>
      </c>
      <c r="F247" s="5">
        <v>49433</v>
      </c>
      <c r="G247" s="2">
        <v>859589.01000000013</v>
      </c>
      <c r="H247" s="2">
        <v>859589.00999999989</v>
      </c>
    </row>
    <row r="248" spans="1:8">
      <c r="A248" t="s">
        <v>979</v>
      </c>
      <c r="B248" t="s">
        <v>177</v>
      </c>
      <c r="C248" s="1" t="s">
        <v>176</v>
      </c>
      <c r="D248" t="s">
        <v>1305</v>
      </c>
      <c r="E248" s="5">
        <v>1234236.1599999997</v>
      </c>
      <c r="F248" s="5">
        <v>1229223.6599999999</v>
      </c>
      <c r="G248" s="2">
        <v>57404.33</v>
      </c>
      <c r="H248" s="2">
        <v>57404.33</v>
      </c>
    </row>
    <row r="249" spans="1:8">
      <c r="A249" t="s">
        <v>980</v>
      </c>
      <c r="B249" t="s">
        <v>695</v>
      </c>
      <c r="C249" s="1" t="s">
        <v>694</v>
      </c>
      <c r="D249" t="s">
        <v>1306</v>
      </c>
      <c r="E249" s="5">
        <v>12158.520000000019</v>
      </c>
      <c r="F249" s="5">
        <v>12158.52</v>
      </c>
      <c r="G249" s="2">
        <v>104529.86</v>
      </c>
      <c r="H249" s="2">
        <v>104529.86</v>
      </c>
    </row>
    <row r="250" spans="1:8">
      <c r="A250" t="s">
        <v>981</v>
      </c>
      <c r="B250" t="s">
        <v>241</v>
      </c>
      <c r="C250" s="1" t="s">
        <v>240</v>
      </c>
      <c r="D250" t="s">
        <v>1307</v>
      </c>
      <c r="E250" s="5">
        <v>1855912.1400000001</v>
      </c>
      <c r="F250" s="5">
        <v>1842018.1400000001</v>
      </c>
      <c r="G250" s="2">
        <v>12970</v>
      </c>
      <c r="H250" s="2">
        <v>12970</v>
      </c>
    </row>
    <row r="251" spans="1:8">
      <c r="A251" t="s">
        <v>982</v>
      </c>
      <c r="B251" t="s">
        <v>241</v>
      </c>
      <c r="C251" s="1" t="s">
        <v>528</v>
      </c>
      <c r="D251" t="s">
        <v>1307</v>
      </c>
      <c r="E251" s="5">
        <v>53273.01</v>
      </c>
      <c r="F251" s="5">
        <v>49395.94999999999</v>
      </c>
      <c r="G251" s="2">
        <v>94000</v>
      </c>
      <c r="H251" s="2">
        <v>94000</v>
      </c>
    </row>
    <row r="252" spans="1:8">
      <c r="A252" t="s">
        <v>983</v>
      </c>
      <c r="B252" t="s">
        <v>241</v>
      </c>
      <c r="C252" s="1" t="s">
        <v>500</v>
      </c>
      <c r="D252" t="s">
        <v>1307</v>
      </c>
      <c r="E252" s="5">
        <v>67593.7</v>
      </c>
      <c r="F252" s="5">
        <v>50182.2</v>
      </c>
      <c r="G252" s="2">
        <v>186240</v>
      </c>
      <c r="H252" s="2">
        <v>116240</v>
      </c>
    </row>
    <row r="253" spans="1:8">
      <c r="A253" t="s">
        <v>984</v>
      </c>
      <c r="B253" t="s">
        <v>451</v>
      </c>
      <c r="C253" s="1" t="s">
        <v>450</v>
      </c>
      <c r="D253" t="s">
        <v>1433</v>
      </c>
      <c r="E253" s="5">
        <v>55637.630000000012</v>
      </c>
      <c r="F253" s="5">
        <v>55637.63</v>
      </c>
      <c r="G253" s="2">
        <v>404692</v>
      </c>
      <c r="H253" s="2">
        <v>0</v>
      </c>
    </row>
    <row r="254" spans="1:8">
      <c r="A254" t="s">
        <v>985</v>
      </c>
      <c r="B254" t="s">
        <v>206</v>
      </c>
      <c r="C254" s="1" t="s">
        <v>205</v>
      </c>
      <c r="D254" t="s">
        <v>1309</v>
      </c>
      <c r="E254" s="5">
        <v>47611.25</v>
      </c>
      <c r="F254" s="5">
        <v>47611.25</v>
      </c>
      <c r="G254" s="2">
        <v>26554</v>
      </c>
      <c r="H254" s="2">
        <v>0</v>
      </c>
    </row>
    <row r="255" spans="1:8">
      <c r="A255" t="s">
        <v>986</v>
      </c>
      <c r="B255" t="s">
        <v>17</v>
      </c>
      <c r="C255" s="1" t="s">
        <v>16</v>
      </c>
      <c r="D255" t="s">
        <v>1310</v>
      </c>
      <c r="E255" s="5">
        <v>1165522.83</v>
      </c>
      <c r="F255" s="5">
        <v>1165522.8299999998</v>
      </c>
      <c r="G255" s="2">
        <v>2235395.0699999998</v>
      </c>
      <c r="H255" s="2">
        <v>0</v>
      </c>
    </row>
    <row r="256" spans="1:8">
      <c r="A256" t="s">
        <v>987</v>
      </c>
      <c r="B256" t="s">
        <v>192</v>
      </c>
      <c r="C256" s="1" t="s">
        <v>191</v>
      </c>
      <c r="D256" t="s">
        <v>1311</v>
      </c>
      <c r="E256" s="5">
        <v>50730.000000000015</v>
      </c>
      <c r="F256" s="5">
        <v>50730</v>
      </c>
      <c r="G256" s="2">
        <v>1478757.6399999997</v>
      </c>
      <c r="H256" s="2">
        <v>1107608.1600000001</v>
      </c>
    </row>
    <row r="257" spans="1:8">
      <c r="A257" t="s">
        <v>988</v>
      </c>
      <c r="B257" t="s">
        <v>7</v>
      </c>
      <c r="C257" s="1" t="s">
        <v>539</v>
      </c>
      <c r="D257" t="s">
        <v>1312</v>
      </c>
      <c r="E257" s="5">
        <v>446504.82</v>
      </c>
      <c r="F257" s="5">
        <v>446504.82</v>
      </c>
      <c r="G257" s="2">
        <v>72836.150000000009</v>
      </c>
      <c r="H257" s="2">
        <v>63985.15</v>
      </c>
    </row>
    <row r="258" spans="1:8">
      <c r="A258" t="s">
        <v>989</v>
      </c>
      <c r="B258" t="s">
        <v>7</v>
      </c>
      <c r="C258" s="1" t="s">
        <v>6</v>
      </c>
      <c r="D258" t="s">
        <v>1312</v>
      </c>
      <c r="E258" s="5">
        <v>243563.64</v>
      </c>
      <c r="F258" s="5">
        <v>215940.2</v>
      </c>
      <c r="G258" s="2">
        <v>110739.69</v>
      </c>
      <c r="H258" s="2">
        <v>99394.69</v>
      </c>
    </row>
    <row r="259" spans="1:8">
      <c r="A259" t="s">
        <v>990</v>
      </c>
      <c r="B259" t="s">
        <v>190</v>
      </c>
      <c r="C259" s="1" t="s">
        <v>189</v>
      </c>
      <c r="D259" t="s">
        <v>1313</v>
      </c>
      <c r="E259" s="5">
        <v>50730.000000000022</v>
      </c>
      <c r="F259" s="5">
        <v>50729.999999999993</v>
      </c>
      <c r="G259" s="2">
        <v>129750.08000000002</v>
      </c>
      <c r="H259" s="2">
        <v>119035.08</v>
      </c>
    </row>
    <row r="260" spans="1:8">
      <c r="A260" t="s">
        <v>991</v>
      </c>
      <c r="B260" t="s">
        <v>188</v>
      </c>
      <c r="C260" s="1" t="s">
        <v>187</v>
      </c>
      <c r="D260" t="s">
        <v>1314</v>
      </c>
      <c r="E260" s="5">
        <v>47611.25</v>
      </c>
      <c r="F260" s="5">
        <v>47611.25</v>
      </c>
      <c r="G260" s="2">
        <v>21074</v>
      </c>
      <c r="H260" s="2">
        <v>21074</v>
      </c>
    </row>
    <row r="261" spans="1:8">
      <c r="A261" t="s">
        <v>993</v>
      </c>
      <c r="B261" t="s">
        <v>1</v>
      </c>
      <c r="C261" s="1" t="s">
        <v>0</v>
      </c>
      <c r="D261" t="s">
        <v>1315</v>
      </c>
      <c r="E261" s="5">
        <v>2729465.0899999994</v>
      </c>
      <c r="F261" s="5">
        <v>2362426.3800000004</v>
      </c>
      <c r="G261" s="2">
        <v>9243</v>
      </c>
      <c r="H261" s="2">
        <v>9243</v>
      </c>
    </row>
    <row r="262" spans="1:8">
      <c r="A262" t="s">
        <v>994</v>
      </c>
      <c r="B262" t="s">
        <v>620</v>
      </c>
      <c r="C262" s="1" t="s">
        <v>619</v>
      </c>
      <c r="D262" t="s">
        <v>1316</v>
      </c>
      <c r="E262" s="5">
        <v>9435</v>
      </c>
      <c r="F262" s="5">
        <v>9435</v>
      </c>
      <c r="G262" s="2">
        <v>3650</v>
      </c>
      <c r="H262" s="2">
        <v>3650</v>
      </c>
    </row>
    <row r="263" spans="1:8">
      <c r="A263" t="s">
        <v>995</v>
      </c>
      <c r="B263" t="s">
        <v>532</v>
      </c>
      <c r="C263" s="1" t="s">
        <v>534</v>
      </c>
      <c r="D263" t="s">
        <v>1460</v>
      </c>
      <c r="E263" s="5">
        <v>98973.88</v>
      </c>
      <c r="F263" s="5">
        <v>98973.88</v>
      </c>
      <c r="G263" s="2">
        <v>899348.57000000007</v>
      </c>
      <c r="H263" s="2">
        <v>899348.57</v>
      </c>
    </row>
    <row r="264" spans="1:8">
      <c r="A264" t="s">
        <v>996</v>
      </c>
      <c r="B264" t="s">
        <v>532</v>
      </c>
      <c r="C264" s="1" t="s">
        <v>531</v>
      </c>
      <c r="D264" t="s">
        <v>1460</v>
      </c>
      <c r="E264" s="5">
        <v>186341.15000000005</v>
      </c>
      <c r="F264" s="5">
        <v>186341.15000000002</v>
      </c>
      <c r="G264" s="2">
        <v>37436.120000000003</v>
      </c>
      <c r="H264" s="2">
        <v>37436.120000000003</v>
      </c>
    </row>
    <row r="265" spans="1:8">
      <c r="A265" t="s">
        <v>997</v>
      </c>
      <c r="B265" t="s">
        <v>532</v>
      </c>
      <c r="C265" s="1" t="s">
        <v>533</v>
      </c>
      <c r="D265" t="s">
        <v>1460</v>
      </c>
      <c r="E265" s="5">
        <v>998300.69000000006</v>
      </c>
      <c r="F265" s="5">
        <v>997582.1799999997</v>
      </c>
      <c r="G265" s="2">
        <v>2506581.58</v>
      </c>
      <c r="H265" s="2">
        <v>2418574.3200000003</v>
      </c>
    </row>
    <row r="266" spans="1:8">
      <c r="A266" t="s">
        <v>998</v>
      </c>
      <c r="B266" t="s">
        <v>532</v>
      </c>
      <c r="C266" s="1" t="s">
        <v>624</v>
      </c>
      <c r="D266" t="s">
        <v>1460</v>
      </c>
      <c r="E266" s="5">
        <v>68306.3</v>
      </c>
      <c r="F266" s="5">
        <v>68306.3</v>
      </c>
      <c r="G266" s="2">
        <v>44837.38</v>
      </c>
      <c r="H266" s="2">
        <v>44837.38</v>
      </c>
    </row>
    <row r="267" spans="1:8">
      <c r="A267" t="s">
        <v>999</v>
      </c>
      <c r="B267" t="s">
        <v>532</v>
      </c>
      <c r="C267" s="1" t="s">
        <v>633</v>
      </c>
      <c r="D267" t="s">
        <v>1460</v>
      </c>
      <c r="E267" s="5">
        <v>27829.82</v>
      </c>
      <c r="F267" s="5">
        <v>27829.82</v>
      </c>
      <c r="G267" s="2">
        <v>102080.88</v>
      </c>
      <c r="H267" s="2">
        <v>0</v>
      </c>
    </row>
    <row r="268" spans="1:8">
      <c r="A268" t="s">
        <v>1000</v>
      </c>
      <c r="B268" t="s">
        <v>532</v>
      </c>
      <c r="C268" s="1" t="s">
        <v>634</v>
      </c>
      <c r="D268" t="s">
        <v>1460</v>
      </c>
      <c r="E268" s="5">
        <v>171435.45</v>
      </c>
      <c r="F268" s="5">
        <v>171435.45</v>
      </c>
      <c r="G268" s="2">
        <v>35269.170000000006</v>
      </c>
      <c r="H268" s="2">
        <v>35269.17</v>
      </c>
    </row>
    <row r="269" spans="1:8">
      <c r="A269" t="s">
        <v>1001</v>
      </c>
      <c r="B269" t="s">
        <v>532</v>
      </c>
      <c r="C269" s="1" t="s">
        <v>635</v>
      </c>
      <c r="D269" t="s">
        <v>1460</v>
      </c>
      <c r="E269" s="5">
        <v>124484.11</v>
      </c>
      <c r="F269" s="5">
        <v>124484.11</v>
      </c>
      <c r="G269" s="2">
        <v>20.49</v>
      </c>
      <c r="H269" s="2">
        <v>20.49</v>
      </c>
    </row>
    <row r="270" spans="1:8">
      <c r="A270" t="s">
        <v>1002</v>
      </c>
      <c r="B270" t="s">
        <v>303</v>
      </c>
      <c r="C270" s="1" t="s">
        <v>317</v>
      </c>
      <c r="D270" t="s">
        <v>1329</v>
      </c>
      <c r="E270" s="5">
        <v>108656.35</v>
      </c>
      <c r="F270" s="5">
        <v>108656.35</v>
      </c>
      <c r="G270" s="2">
        <v>3742800.2800000017</v>
      </c>
      <c r="H270" s="2">
        <v>3728029.2800000007</v>
      </c>
    </row>
    <row r="271" spans="1:8">
      <c r="A271" t="s">
        <v>1003</v>
      </c>
      <c r="B271" t="s">
        <v>303</v>
      </c>
      <c r="C271" s="1" t="s">
        <v>538</v>
      </c>
      <c r="D271" t="s">
        <v>1329</v>
      </c>
      <c r="E271" s="5">
        <v>58372.37</v>
      </c>
      <c r="F271" s="5">
        <v>58372.369999999995</v>
      </c>
      <c r="G271" s="2">
        <v>2110154.5799999996</v>
      </c>
      <c r="H271" s="2">
        <v>2110154.58</v>
      </c>
    </row>
    <row r="272" spans="1:8">
      <c r="A272" t="s">
        <v>1004</v>
      </c>
      <c r="B272" t="s">
        <v>303</v>
      </c>
      <c r="C272" s="1" t="s">
        <v>308</v>
      </c>
      <c r="D272" t="s">
        <v>1329</v>
      </c>
      <c r="E272" s="5">
        <v>750722.64999999991</v>
      </c>
      <c r="F272" s="5">
        <v>750722.65</v>
      </c>
      <c r="G272" s="2">
        <v>651096.68999999971</v>
      </c>
      <c r="H272" s="2">
        <v>650718.76</v>
      </c>
    </row>
    <row r="273" spans="1:8">
      <c r="A273" t="s">
        <v>1005</v>
      </c>
      <c r="B273" t="s">
        <v>303</v>
      </c>
      <c r="C273" s="1" t="s">
        <v>309</v>
      </c>
      <c r="D273" t="s">
        <v>1329</v>
      </c>
      <c r="E273" s="5">
        <v>37077.370000000003</v>
      </c>
      <c r="F273" s="5">
        <v>37077.370000000003</v>
      </c>
      <c r="G273" s="2">
        <v>27751.869999999995</v>
      </c>
      <c r="H273" s="2">
        <v>27751.870000000003</v>
      </c>
    </row>
    <row r="274" spans="1:8">
      <c r="A274" t="s">
        <v>1006</v>
      </c>
      <c r="B274" t="s">
        <v>303</v>
      </c>
      <c r="C274" s="1" t="s">
        <v>312</v>
      </c>
      <c r="D274" t="s">
        <v>1329</v>
      </c>
      <c r="E274" s="5">
        <v>140267.37</v>
      </c>
      <c r="F274" s="5">
        <v>140267.37</v>
      </c>
      <c r="G274" s="2">
        <v>349294</v>
      </c>
      <c r="H274" s="2">
        <v>118785.90000000001</v>
      </c>
    </row>
    <row r="275" spans="1:8">
      <c r="A275" t="s">
        <v>1007</v>
      </c>
      <c r="B275" t="s">
        <v>303</v>
      </c>
      <c r="C275" s="1" t="s">
        <v>302</v>
      </c>
      <c r="D275" t="s">
        <v>1329</v>
      </c>
      <c r="E275" s="5">
        <v>686760.3899999999</v>
      </c>
      <c r="F275" s="5">
        <v>686760.39000000013</v>
      </c>
      <c r="G275" s="2">
        <v>33287.75</v>
      </c>
      <c r="H275" s="2">
        <v>33287.75</v>
      </c>
    </row>
    <row r="276" spans="1:8">
      <c r="A276" t="s">
        <v>1008</v>
      </c>
      <c r="B276" t="s">
        <v>303</v>
      </c>
      <c r="C276" s="1" t="s">
        <v>609</v>
      </c>
      <c r="D276" t="s">
        <v>1329</v>
      </c>
      <c r="E276" s="5">
        <v>9435</v>
      </c>
      <c r="F276" s="5">
        <v>9435</v>
      </c>
      <c r="G276" s="2">
        <v>37763.199999999997</v>
      </c>
      <c r="H276" s="2">
        <v>37763.199999999997</v>
      </c>
    </row>
    <row r="277" spans="1:8">
      <c r="A277" t="s">
        <v>1009</v>
      </c>
      <c r="B277" t="s">
        <v>9</v>
      </c>
      <c r="C277" s="1" t="s">
        <v>213</v>
      </c>
      <c r="D277" t="s">
        <v>1461</v>
      </c>
      <c r="E277" s="5">
        <v>268791.17000000004</v>
      </c>
      <c r="F277" s="5">
        <v>268791.17000000004</v>
      </c>
      <c r="G277" s="2">
        <v>50217.590000000004</v>
      </c>
      <c r="H277" s="2">
        <v>45749.08</v>
      </c>
    </row>
    <row r="278" spans="1:8">
      <c r="A278" t="s">
        <v>1010</v>
      </c>
      <c r="B278" t="s">
        <v>9</v>
      </c>
      <c r="C278" s="1" t="s">
        <v>215</v>
      </c>
      <c r="D278" t="s">
        <v>1461</v>
      </c>
      <c r="E278" s="5">
        <v>132120.09999999998</v>
      </c>
      <c r="F278" s="5">
        <v>132120.1</v>
      </c>
      <c r="G278" s="2">
        <v>35597</v>
      </c>
      <c r="H278" s="2">
        <v>35597</v>
      </c>
    </row>
    <row r="279" spans="1:8">
      <c r="A279" t="s">
        <v>1011</v>
      </c>
      <c r="B279" t="s">
        <v>9</v>
      </c>
      <c r="C279" s="1" t="s">
        <v>8</v>
      </c>
      <c r="D279" t="s">
        <v>1461</v>
      </c>
      <c r="E279" s="5">
        <v>859589.01000000013</v>
      </c>
      <c r="F279" s="5">
        <v>859589.00999999989</v>
      </c>
      <c r="G279" s="2">
        <v>28549</v>
      </c>
      <c r="H279" s="2">
        <v>28549</v>
      </c>
    </row>
    <row r="280" spans="1:8">
      <c r="A280" t="s">
        <v>1012</v>
      </c>
      <c r="B280" t="s">
        <v>9</v>
      </c>
      <c r="C280" s="1" t="s">
        <v>214</v>
      </c>
      <c r="D280" t="s">
        <v>1461</v>
      </c>
      <c r="E280" s="5">
        <v>57404.33</v>
      </c>
      <c r="F280" s="5">
        <v>57404.33</v>
      </c>
      <c r="G280" s="2">
        <v>1139993.3900000001</v>
      </c>
      <c r="H280" s="2">
        <v>1032919.2899999999</v>
      </c>
    </row>
    <row r="281" spans="1:8">
      <c r="A281" t="s">
        <v>1013</v>
      </c>
      <c r="B281" t="s">
        <v>9</v>
      </c>
      <c r="C281" s="1" t="s">
        <v>212</v>
      </c>
      <c r="D281" t="s">
        <v>1461</v>
      </c>
      <c r="E281" s="5">
        <v>104529.85999999999</v>
      </c>
      <c r="F281" s="5">
        <v>104529.85999999999</v>
      </c>
      <c r="G281" s="2">
        <v>979859.4</v>
      </c>
      <c r="H281" s="2">
        <v>979842.28000000014</v>
      </c>
    </row>
    <row r="282" spans="1:8">
      <c r="A282" t="s">
        <v>1014</v>
      </c>
      <c r="B282" t="s">
        <v>9</v>
      </c>
      <c r="C282" s="1" t="s">
        <v>442</v>
      </c>
      <c r="D282" t="s">
        <v>1461</v>
      </c>
      <c r="E282" s="5">
        <v>12970</v>
      </c>
      <c r="F282" s="5">
        <v>12970</v>
      </c>
      <c r="G282" s="2">
        <v>155111.31</v>
      </c>
      <c r="H282" s="2">
        <v>140538.17000000001</v>
      </c>
    </row>
    <row r="283" spans="1:8">
      <c r="A283" t="s">
        <v>1015</v>
      </c>
      <c r="B283" t="s">
        <v>673</v>
      </c>
      <c r="C283" s="1" t="s">
        <v>672</v>
      </c>
      <c r="D283" t="s">
        <v>1332</v>
      </c>
      <c r="E283" s="5">
        <v>94000</v>
      </c>
      <c r="F283" s="5">
        <v>94000</v>
      </c>
      <c r="G283" s="2">
        <v>789472.88000000012</v>
      </c>
      <c r="H283" s="2">
        <v>501548.35000000009</v>
      </c>
    </row>
    <row r="284" spans="1:8">
      <c r="A284" t="s">
        <v>1016</v>
      </c>
      <c r="B284" t="s">
        <v>341</v>
      </c>
      <c r="C284" s="1" t="s">
        <v>340</v>
      </c>
      <c r="D284" t="s">
        <v>1333</v>
      </c>
      <c r="E284" s="5">
        <v>186240</v>
      </c>
      <c r="F284" s="5">
        <v>139040</v>
      </c>
      <c r="G284" s="2">
        <v>312487.19999999995</v>
      </c>
      <c r="H284" s="2">
        <v>312487.2</v>
      </c>
    </row>
    <row r="285" spans="1:8">
      <c r="A285" t="s">
        <v>1017</v>
      </c>
      <c r="B285" t="s">
        <v>368</v>
      </c>
      <c r="C285" s="1" t="s">
        <v>465</v>
      </c>
      <c r="D285" t="s">
        <v>1334</v>
      </c>
      <c r="E285" s="5">
        <v>404692</v>
      </c>
      <c r="G285" s="2">
        <v>2634489.62</v>
      </c>
      <c r="H285" s="2">
        <v>1678865.91</v>
      </c>
    </row>
    <row r="286" spans="1:8">
      <c r="A286" t="s">
        <v>1018</v>
      </c>
      <c r="B286" t="s">
        <v>368</v>
      </c>
      <c r="C286" s="1" t="s">
        <v>367</v>
      </c>
      <c r="D286" t="s">
        <v>1334</v>
      </c>
      <c r="E286" s="5">
        <v>26554</v>
      </c>
      <c r="F286" s="5">
        <v>2922.95</v>
      </c>
      <c r="G286" s="2">
        <v>36993.15</v>
      </c>
      <c r="H286" s="2">
        <v>36993.15</v>
      </c>
    </row>
    <row r="287" spans="1:8">
      <c r="A287" t="s">
        <v>1019</v>
      </c>
      <c r="B287" t="s">
        <v>371</v>
      </c>
      <c r="C287" s="1" t="s">
        <v>370</v>
      </c>
      <c r="D287" t="s">
        <v>1335</v>
      </c>
      <c r="E287" s="5">
        <v>2235395.0699999998</v>
      </c>
      <c r="G287" s="2">
        <v>155949.57</v>
      </c>
      <c r="H287" s="2">
        <v>155949.57</v>
      </c>
    </row>
    <row r="288" spans="1:8">
      <c r="A288" t="s">
        <v>1020</v>
      </c>
      <c r="B288" t="s">
        <v>288</v>
      </c>
      <c r="C288" s="1" t="s">
        <v>287</v>
      </c>
      <c r="D288" t="s">
        <v>1336</v>
      </c>
      <c r="E288" s="5">
        <v>1478757.0599999998</v>
      </c>
      <c r="F288" s="5">
        <v>1433635.3000000005</v>
      </c>
      <c r="G288" s="2">
        <v>51981</v>
      </c>
      <c r="H288" s="2">
        <v>51981</v>
      </c>
    </row>
    <row r="289" spans="1:8">
      <c r="A289" t="s">
        <v>1021</v>
      </c>
      <c r="B289" t="s">
        <v>288</v>
      </c>
      <c r="C289" s="1" t="s">
        <v>458</v>
      </c>
      <c r="D289" t="s">
        <v>1336</v>
      </c>
      <c r="E289" s="5">
        <v>72836.149999999994</v>
      </c>
      <c r="F289" s="5">
        <v>63985.15</v>
      </c>
      <c r="G289" s="2">
        <v>1483092.13</v>
      </c>
      <c r="H289" s="2">
        <v>1407104.5600000003</v>
      </c>
    </row>
    <row r="290" spans="1:8">
      <c r="A290" t="s">
        <v>1022</v>
      </c>
      <c r="B290" t="s">
        <v>453</v>
      </c>
      <c r="C290" s="1" t="s">
        <v>452</v>
      </c>
      <c r="D290" t="s">
        <v>1337</v>
      </c>
      <c r="E290" s="5">
        <v>110739.69</v>
      </c>
      <c r="F290" s="5">
        <v>99394.69</v>
      </c>
      <c r="G290" s="2">
        <v>378209</v>
      </c>
      <c r="H290" s="2">
        <v>341814.11</v>
      </c>
    </row>
    <row r="291" spans="1:8">
      <c r="A291" t="s">
        <v>1023</v>
      </c>
      <c r="B291" t="s">
        <v>439</v>
      </c>
      <c r="C291" s="1" t="s">
        <v>438</v>
      </c>
      <c r="D291" t="s">
        <v>1338</v>
      </c>
      <c r="E291" s="5">
        <v>129750.08000000002</v>
      </c>
      <c r="F291" s="5">
        <v>119035.08</v>
      </c>
      <c r="G291" s="2">
        <v>11004.1</v>
      </c>
      <c r="H291" s="2">
        <v>11004.1</v>
      </c>
    </row>
    <row r="292" spans="1:8">
      <c r="A292" t="s">
        <v>1024</v>
      </c>
      <c r="B292" t="s">
        <v>233</v>
      </c>
      <c r="C292" s="1" t="s">
        <v>232</v>
      </c>
      <c r="D292" t="s">
        <v>1339</v>
      </c>
      <c r="E292" s="5">
        <v>21074</v>
      </c>
      <c r="F292" s="5">
        <v>21074</v>
      </c>
      <c r="G292" s="2">
        <v>276539.25</v>
      </c>
      <c r="H292" s="2">
        <v>276539.25</v>
      </c>
    </row>
    <row r="293" spans="1:8">
      <c r="A293" t="s">
        <v>1025</v>
      </c>
      <c r="B293" t="s">
        <v>233</v>
      </c>
      <c r="C293" s="1" t="s">
        <v>236</v>
      </c>
      <c r="D293" t="s">
        <v>1339</v>
      </c>
      <c r="E293" s="5">
        <v>58551.999999999985</v>
      </c>
      <c r="F293" s="5">
        <v>58552</v>
      </c>
      <c r="G293" s="2">
        <v>67618</v>
      </c>
      <c r="H293" s="2">
        <v>38803.699999999997</v>
      </c>
    </row>
    <row r="294" spans="1:8">
      <c r="A294" t="s">
        <v>1026</v>
      </c>
      <c r="B294" t="s">
        <v>233</v>
      </c>
      <c r="C294" s="1" t="s">
        <v>696</v>
      </c>
      <c r="D294" t="s">
        <v>1339</v>
      </c>
      <c r="E294" s="5">
        <v>9243</v>
      </c>
      <c r="F294" s="5">
        <v>9243</v>
      </c>
      <c r="G294" s="2">
        <v>7744</v>
      </c>
      <c r="H294" s="2">
        <v>7744</v>
      </c>
    </row>
    <row r="295" spans="1:8">
      <c r="A295" t="s">
        <v>1027</v>
      </c>
      <c r="B295" t="s">
        <v>233</v>
      </c>
      <c r="C295" s="1" t="s">
        <v>235</v>
      </c>
      <c r="D295" t="s">
        <v>1339</v>
      </c>
      <c r="E295" s="5">
        <v>3650</v>
      </c>
      <c r="F295" s="5">
        <v>3650</v>
      </c>
      <c r="G295" s="2">
        <v>212199.28000000003</v>
      </c>
      <c r="H295" s="2">
        <v>212199.27999999997</v>
      </c>
    </row>
    <row r="296" spans="1:8">
      <c r="A296" t="s">
        <v>1030</v>
      </c>
      <c r="B296" t="s">
        <v>37</v>
      </c>
      <c r="C296" s="1" t="s">
        <v>54</v>
      </c>
      <c r="D296" t="s">
        <v>1340</v>
      </c>
      <c r="E296" s="5">
        <v>899348.57000000007</v>
      </c>
      <c r="F296" s="5">
        <v>899348.57</v>
      </c>
      <c r="G296" s="2">
        <v>87130.240000000005</v>
      </c>
      <c r="H296" s="2">
        <v>70526.66</v>
      </c>
    </row>
    <row r="297" spans="1:8">
      <c r="A297" t="s">
        <v>1031</v>
      </c>
      <c r="B297" t="s">
        <v>37</v>
      </c>
      <c r="C297" s="1" t="s">
        <v>36</v>
      </c>
      <c r="D297" t="s">
        <v>1341</v>
      </c>
      <c r="E297" s="5">
        <v>37436.120000000003</v>
      </c>
      <c r="F297" s="5">
        <v>37436.120000000003</v>
      </c>
      <c r="G297" s="2">
        <v>47500</v>
      </c>
      <c r="H297" s="2">
        <v>47500</v>
      </c>
    </row>
    <row r="298" spans="1:8">
      <c r="A298" t="s">
        <v>1032</v>
      </c>
      <c r="B298" t="s">
        <v>62</v>
      </c>
      <c r="C298" s="1" t="s">
        <v>79</v>
      </c>
      <c r="D298" t="s">
        <v>1342</v>
      </c>
      <c r="E298" s="5">
        <v>2506581.5800000005</v>
      </c>
      <c r="F298" s="5">
        <v>2506581.5799999991</v>
      </c>
      <c r="G298" s="2">
        <v>2467500.0000000019</v>
      </c>
      <c r="H298" s="2">
        <v>2200979.5500000003</v>
      </c>
    </row>
    <row r="299" spans="1:8">
      <c r="A299" t="s">
        <v>1033</v>
      </c>
      <c r="B299" t="s">
        <v>62</v>
      </c>
      <c r="C299" s="1" t="s">
        <v>61</v>
      </c>
      <c r="D299" t="s">
        <v>1342</v>
      </c>
      <c r="E299" s="5">
        <v>44837.380000000005</v>
      </c>
      <c r="F299" s="5">
        <v>44837.380000000005</v>
      </c>
      <c r="G299" s="2">
        <v>179346.97999999998</v>
      </c>
      <c r="H299" s="2">
        <v>5247.54</v>
      </c>
    </row>
    <row r="300" spans="1:8">
      <c r="A300" t="s">
        <v>1034</v>
      </c>
      <c r="B300" t="s">
        <v>62</v>
      </c>
      <c r="C300" s="1" t="s">
        <v>651</v>
      </c>
      <c r="D300" t="s">
        <v>1342</v>
      </c>
      <c r="E300" s="5">
        <v>106652.57999999999</v>
      </c>
      <c r="F300" s="5">
        <v>106652.58</v>
      </c>
      <c r="G300" s="2">
        <v>86908.35000000002</v>
      </c>
      <c r="H300" s="2">
        <v>76959</v>
      </c>
    </row>
    <row r="301" spans="1:8">
      <c r="A301" t="s">
        <v>1035</v>
      </c>
      <c r="B301" t="s">
        <v>19</v>
      </c>
      <c r="C301" s="1" t="s">
        <v>18</v>
      </c>
      <c r="D301" t="s">
        <v>1343</v>
      </c>
      <c r="E301" s="5">
        <v>35269.17</v>
      </c>
      <c r="F301" s="5">
        <v>35269.170000000006</v>
      </c>
      <c r="G301" s="2">
        <v>2036731.1600000001</v>
      </c>
      <c r="H301" s="2">
        <v>2006483.0799999998</v>
      </c>
    </row>
    <row r="302" spans="1:8">
      <c r="A302" t="s">
        <v>1036</v>
      </c>
      <c r="B302" t="s">
        <v>711</v>
      </c>
      <c r="C302" s="1" t="s">
        <v>710</v>
      </c>
      <c r="D302" t="s">
        <v>1344</v>
      </c>
      <c r="E302" s="5">
        <v>20.49</v>
      </c>
      <c r="F302" s="5">
        <v>20.49</v>
      </c>
      <c r="G302" s="2">
        <v>57086.61</v>
      </c>
      <c r="H302" s="2">
        <v>39028.61</v>
      </c>
    </row>
    <row r="303" spans="1:8">
      <c r="A303" t="s">
        <v>1037</v>
      </c>
      <c r="B303" t="s">
        <v>51</v>
      </c>
      <c r="C303" s="1" t="s">
        <v>50</v>
      </c>
      <c r="D303" t="s">
        <v>1344</v>
      </c>
      <c r="E303" s="5">
        <v>3742800.2800000017</v>
      </c>
      <c r="F303" s="5">
        <v>3728029.2800000003</v>
      </c>
      <c r="G303" s="2">
        <v>69086.610000000015</v>
      </c>
      <c r="H303" s="2">
        <v>63469.66</v>
      </c>
    </row>
    <row r="304" spans="1:8">
      <c r="A304" t="s">
        <v>1038</v>
      </c>
      <c r="B304" t="s">
        <v>51</v>
      </c>
      <c r="C304" s="1" t="s">
        <v>323</v>
      </c>
      <c r="D304" t="s">
        <v>1344</v>
      </c>
      <c r="E304" s="5">
        <v>2110154.58</v>
      </c>
      <c r="F304" s="5">
        <v>2110154.58</v>
      </c>
      <c r="G304" s="2">
        <v>691756.23999999976</v>
      </c>
      <c r="H304" s="2">
        <v>691756.24000000011</v>
      </c>
    </row>
    <row r="305" spans="1:8">
      <c r="A305" t="s">
        <v>1039</v>
      </c>
      <c r="B305" t="s">
        <v>43</v>
      </c>
      <c r="C305" s="1" t="s">
        <v>42</v>
      </c>
      <c r="D305" t="s">
        <v>1345</v>
      </c>
      <c r="E305" s="5">
        <v>651096.68999999994</v>
      </c>
      <c r="F305" s="5">
        <v>650860.84999999986</v>
      </c>
      <c r="G305" s="2">
        <v>155715.64000000001</v>
      </c>
      <c r="H305" s="2">
        <v>26921.88</v>
      </c>
    </row>
    <row r="306" spans="1:8">
      <c r="A306" t="s">
        <v>1040</v>
      </c>
      <c r="B306" t="s">
        <v>43</v>
      </c>
      <c r="C306" s="1" t="s">
        <v>65</v>
      </c>
      <c r="D306" t="s">
        <v>1346</v>
      </c>
      <c r="E306" s="5">
        <v>27751.869999999995</v>
      </c>
      <c r="F306" s="5">
        <v>27751.870000000003</v>
      </c>
      <c r="G306" s="2">
        <v>57818.580000000009</v>
      </c>
      <c r="H306" s="2">
        <v>17655.75</v>
      </c>
    </row>
    <row r="307" spans="1:8">
      <c r="A307" t="s">
        <v>1041</v>
      </c>
      <c r="B307" t="s">
        <v>53</v>
      </c>
      <c r="C307" s="1" t="s">
        <v>242</v>
      </c>
      <c r="D307" t="s">
        <v>1347</v>
      </c>
      <c r="E307" s="5">
        <v>352247.21</v>
      </c>
      <c r="F307" s="5">
        <v>305779.42000000004</v>
      </c>
      <c r="G307" s="2">
        <v>52577</v>
      </c>
      <c r="H307" s="2">
        <v>11626.67</v>
      </c>
    </row>
    <row r="308" spans="1:8">
      <c r="A308" t="s">
        <v>1042</v>
      </c>
      <c r="B308" t="s">
        <v>53</v>
      </c>
      <c r="C308" s="1" t="s">
        <v>52</v>
      </c>
      <c r="D308" t="s">
        <v>1347</v>
      </c>
      <c r="E308" s="5">
        <v>33287.75</v>
      </c>
      <c r="F308" s="5">
        <v>33287.750000000007</v>
      </c>
      <c r="G308" s="2">
        <v>49471</v>
      </c>
      <c r="H308" s="2">
        <v>17825.150000000001</v>
      </c>
    </row>
    <row r="309" spans="1:8">
      <c r="A309" t="s">
        <v>1043</v>
      </c>
      <c r="B309" t="s">
        <v>31</v>
      </c>
      <c r="C309" s="1" t="s">
        <v>30</v>
      </c>
      <c r="D309" t="s">
        <v>1348</v>
      </c>
      <c r="E309" s="5">
        <v>37763.199999999997</v>
      </c>
      <c r="F309" s="5">
        <v>37763.200000000004</v>
      </c>
      <c r="G309" s="2">
        <v>43930.329999999994</v>
      </c>
      <c r="H309" s="2">
        <v>43930.33</v>
      </c>
    </row>
    <row r="310" spans="1:8">
      <c r="A310" t="s">
        <v>1044</v>
      </c>
      <c r="B310" t="s">
        <v>117</v>
      </c>
      <c r="C310" s="1" t="s">
        <v>116</v>
      </c>
      <c r="D310" t="s">
        <v>1349</v>
      </c>
      <c r="E310" s="5">
        <v>50217.59</v>
      </c>
      <c r="F310" s="5">
        <v>50217.590000000004</v>
      </c>
      <c r="G310" s="2">
        <v>383917</v>
      </c>
      <c r="H310" s="2">
        <v>383917</v>
      </c>
    </row>
    <row r="311" spans="1:8">
      <c r="A311" t="s">
        <v>1045</v>
      </c>
      <c r="B311" t="s">
        <v>3</v>
      </c>
      <c r="C311" s="1" t="s">
        <v>2</v>
      </c>
      <c r="D311" t="s">
        <v>1350</v>
      </c>
      <c r="E311" s="5">
        <v>35597</v>
      </c>
      <c r="F311" s="5">
        <v>35597</v>
      </c>
      <c r="G311" s="2">
        <v>1484129.25</v>
      </c>
      <c r="H311" s="2">
        <v>1254283.5999999999</v>
      </c>
    </row>
    <row r="312" spans="1:8">
      <c r="A312" t="s">
        <v>1046</v>
      </c>
      <c r="B312" t="s">
        <v>3</v>
      </c>
      <c r="C312" s="1" t="s">
        <v>648</v>
      </c>
      <c r="D312" t="s">
        <v>1350</v>
      </c>
      <c r="E312" s="5">
        <v>28549</v>
      </c>
      <c r="F312" s="5">
        <v>28549</v>
      </c>
      <c r="G312" s="2">
        <v>234441</v>
      </c>
      <c r="H312" s="2">
        <v>223891</v>
      </c>
    </row>
    <row r="313" spans="1:8">
      <c r="A313" t="s">
        <v>1047</v>
      </c>
      <c r="B313" t="s">
        <v>85</v>
      </c>
      <c r="C313" s="1" t="s">
        <v>84</v>
      </c>
      <c r="D313" t="s">
        <v>1351</v>
      </c>
      <c r="E313" s="5">
        <v>1139993.3900000001</v>
      </c>
      <c r="F313" s="5">
        <v>1098976.3900000001</v>
      </c>
      <c r="G313" s="2">
        <v>83458</v>
      </c>
      <c r="H313" s="2">
        <v>83458.000000000015</v>
      </c>
    </row>
    <row r="314" spans="1:8">
      <c r="A314" t="s">
        <v>1048</v>
      </c>
      <c r="B314" t="s">
        <v>85</v>
      </c>
      <c r="C314" s="1" t="s">
        <v>138</v>
      </c>
      <c r="D314" t="s">
        <v>1351</v>
      </c>
      <c r="E314" s="5">
        <v>979859.4</v>
      </c>
      <c r="F314" s="5">
        <v>979859.4</v>
      </c>
      <c r="G314" s="2">
        <v>8600</v>
      </c>
      <c r="H314" s="2">
        <v>8600</v>
      </c>
    </row>
    <row r="315" spans="1:8">
      <c r="A315" t="s">
        <v>1049</v>
      </c>
      <c r="B315" t="s">
        <v>85</v>
      </c>
      <c r="C315" s="1" t="s">
        <v>94</v>
      </c>
      <c r="D315" t="s">
        <v>1351</v>
      </c>
      <c r="E315" s="5">
        <v>147522.26</v>
      </c>
      <c r="F315" s="5">
        <v>147522.26</v>
      </c>
      <c r="G315" s="2">
        <v>31343</v>
      </c>
      <c r="H315" s="2">
        <v>0</v>
      </c>
    </row>
    <row r="316" spans="1:8">
      <c r="A316" t="s">
        <v>1050</v>
      </c>
      <c r="B316" t="s">
        <v>85</v>
      </c>
      <c r="C316" s="1" t="s">
        <v>103</v>
      </c>
      <c r="D316" t="s">
        <v>1351</v>
      </c>
      <c r="E316" s="5">
        <v>789472.88</v>
      </c>
      <c r="F316" s="5">
        <v>764313.56</v>
      </c>
      <c r="G316" s="2">
        <v>248877.99999999988</v>
      </c>
      <c r="H316" s="2">
        <v>248763.7</v>
      </c>
    </row>
    <row r="317" spans="1:8">
      <c r="A317" t="s">
        <v>1051</v>
      </c>
      <c r="B317" t="s">
        <v>462</v>
      </c>
      <c r="C317" s="1" t="s">
        <v>669</v>
      </c>
      <c r="D317" t="s">
        <v>1352</v>
      </c>
      <c r="E317" s="5">
        <v>312487.19999999995</v>
      </c>
      <c r="F317" s="5">
        <v>312487.2</v>
      </c>
      <c r="G317" s="2">
        <v>1517911</v>
      </c>
      <c r="H317" s="2">
        <v>1515463.6799999999</v>
      </c>
    </row>
    <row r="318" spans="1:8">
      <c r="A318" t="s">
        <v>1052</v>
      </c>
      <c r="B318" t="s">
        <v>462</v>
      </c>
      <c r="C318" s="1" t="s">
        <v>461</v>
      </c>
      <c r="D318" t="s">
        <v>1353</v>
      </c>
      <c r="E318" s="5">
        <v>2634489.6199999996</v>
      </c>
      <c r="F318" s="5">
        <v>2607070.7200000002</v>
      </c>
      <c r="G318" s="2">
        <v>23019.999999999996</v>
      </c>
      <c r="H318" s="2">
        <v>23020</v>
      </c>
    </row>
    <row r="319" spans="1:8">
      <c r="A319" t="s">
        <v>1053</v>
      </c>
      <c r="B319" t="s">
        <v>462</v>
      </c>
      <c r="C319" s="1" t="s">
        <v>497</v>
      </c>
      <c r="D319" t="s">
        <v>1352</v>
      </c>
      <c r="E319" s="5">
        <v>36993.149999999994</v>
      </c>
      <c r="F319" s="5">
        <v>36993.15</v>
      </c>
      <c r="G319" s="2">
        <v>222273.00000000006</v>
      </c>
      <c r="H319" s="2">
        <v>222273</v>
      </c>
    </row>
    <row r="320" spans="1:8">
      <c r="A320" t="s">
        <v>1054</v>
      </c>
      <c r="B320" t="s">
        <v>113</v>
      </c>
      <c r="C320" s="1" t="s">
        <v>112</v>
      </c>
      <c r="D320" t="s">
        <v>1354</v>
      </c>
      <c r="E320" s="5">
        <v>155949.57</v>
      </c>
      <c r="F320" s="5">
        <v>155949.57</v>
      </c>
      <c r="G320" s="2">
        <v>269732</v>
      </c>
      <c r="H320" s="2">
        <v>255098</v>
      </c>
    </row>
    <row r="321" spans="1:8">
      <c r="A321" t="s">
        <v>1055</v>
      </c>
      <c r="B321" t="s">
        <v>509</v>
      </c>
      <c r="C321" s="1" t="s">
        <v>508</v>
      </c>
      <c r="D321" t="s">
        <v>1355</v>
      </c>
      <c r="E321" s="5">
        <v>51981</v>
      </c>
      <c r="F321" s="5">
        <v>51981</v>
      </c>
      <c r="G321" s="2">
        <v>96686</v>
      </c>
      <c r="H321" s="2">
        <v>96685.999999999985</v>
      </c>
    </row>
    <row r="322" spans="1:8">
      <c r="A322" t="s">
        <v>1056</v>
      </c>
      <c r="B322" t="s">
        <v>267</v>
      </c>
      <c r="C322" s="1" t="s">
        <v>266</v>
      </c>
      <c r="D322" t="s">
        <v>1356</v>
      </c>
      <c r="E322" s="5">
        <v>1483092.13</v>
      </c>
      <c r="F322" s="5">
        <v>1483092.1300000004</v>
      </c>
      <c r="G322" s="2">
        <v>25100</v>
      </c>
      <c r="H322" s="2">
        <v>25100</v>
      </c>
    </row>
    <row r="323" spans="1:8">
      <c r="A323" t="s">
        <v>1057</v>
      </c>
      <c r="B323" t="s">
        <v>267</v>
      </c>
      <c r="C323" s="1" t="s">
        <v>270</v>
      </c>
      <c r="D323" t="s">
        <v>1356</v>
      </c>
      <c r="E323" s="5">
        <v>378209</v>
      </c>
      <c r="F323" s="5">
        <v>378209</v>
      </c>
      <c r="G323" s="2">
        <v>76035</v>
      </c>
      <c r="H323" s="2">
        <v>76035</v>
      </c>
    </row>
    <row r="324" spans="1:8">
      <c r="A324" t="s">
        <v>1058</v>
      </c>
      <c r="B324" t="s">
        <v>29</v>
      </c>
      <c r="C324" s="1" t="s">
        <v>70</v>
      </c>
      <c r="D324" t="s">
        <v>1357</v>
      </c>
      <c r="E324" s="5">
        <v>11004.1</v>
      </c>
      <c r="F324" s="5">
        <v>11004.099999999999</v>
      </c>
      <c r="G324" s="2">
        <v>6700</v>
      </c>
      <c r="H324" s="2">
        <v>6700</v>
      </c>
    </row>
    <row r="325" spans="1:8">
      <c r="A325" t="s">
        <v>1059</v>
      </c>
      <c r="B325" t="s">
        <v>29</v>
      </c>
      <c r="C325" s="1" t="s">
        <v>28</v>
      </c>
      <c r="D325" t="s">
        <v>1357</v>
      </c>
      <c r="E325" s="5">
        <v>276539.25</v>
      </c>
      <c r="F325" s="5">
        <v>276539.25000000006</v>
      </c>
      <c r="G325" s="2">
        <v>31342</v>
      </c>
      <c r="H325" s="2">
        <v>0</v>
      </c>
    </row>
    <row r="326" spans="1:8">
      <c r="A326" t="s">
        <v>1060</v>
      </c>
      <c r="B326" t="s">
        <v>265</v>
      </c>
      <c r="C326" s="1" t="s">
        <v>264</v>
      </c>
      <c r="D326" t="s">
        <v>1356</v>
      </c>
      <c r="E326" s="5">
        <v>67618</v>
      </c>
      <c r="F326" s="5">
        <v>67618</v>
      </c>
      <c r="G326" s="2">
        <v>25800</v>
      </c>
      <c r="H326" s="2">
        <v>22500</v>
      </c>
    </row>
    <row r="327" spans="1:8">
      <c r="A327" t="s">
        <v>1061</v>
      </c>
      <c r="B327" t="s">
        <v>265</v>
      </c>
      <c r="C327" s="1" t="s">
        <v>268</v>
      </c>
      <c r="D327" t="s">
        <v>1356</v>
      </c>
      <c r="E327" s="5">
        <v>7744</v>
      </c>
      <c r="F327" s="5">
        <v>7744</v>
      </c>
      <c r="G327" s="2">
        <v>376551</v>
      </c>
      <c r="H327" s="2">
        <v>376551</v>
      </c>
    </row>
    <row r="328" spans="1:8">
      <c r="A328" t="s">
        <v>1063</v>
      </c>
      <c r="B328" t="s">
        <v>427</v>
      </c>
      <c r="C328" s="1" t="s">
        <v>668</v>
      </c>
      <c r="D328" t="s">
        <v>1352</v>
      </c>
      <c r="E328" s="5">
        <v>212199.28000000003</v>
      </c>
      <c r="F328" s="5">
        <v>212199.27999999997</v>
      </c>
      <c r="G328" s="2">
        <v>257350</v>
      </c>
      <c r="H328" s="2">
        <v>257350</v>
      </c>
    </row>
    <row r="329" spans="1:8">
      <c r="A329" t="s">
        <v>1064</v>
      </c>
      <c r="B329" t="s">
        <v>427</v>
      </c>
      <c r="C329" s="1" t="s">
        <v>426</v>
      </c>
      <c r="D329" t="s">
        <v>1352</v>
      </c>
      <c r="E329" s="5">
        <v>36993.149999999994</v>
      </c>
      <c r="F329" s="5">
        <v>36993.15</v>
      </c>
      <c r="G329" s="2">
        <v>587130</v>
      </c>
      <c r="H329" s="2">
        <v>587130</v>
      </c>
    </row>
    <row r="330" spans="1:8">
      <c r="A330" t="s">
        <v>1065</v>
      </c>
      <c r="B330" t="s">
        <v>115</v>
      </c>
      <c r="C330" s="1" t="s">
        <v>114</v>
      </c>
      <c r="D330" t="s">
        <v>1359</v>
      </c>
      <c r="E330" s="5">
        <v>50715.909999999989</v>
      </c>
      <c r="F330" s="5">
        <v>50715.91</v>
      </c>
      <c r="G330" s="2">
        <v>331010</v>
      </c>
      <c r="H330" s="2">
        <v>331010</v>
      </c>
    </row>
    <row r="331" spans="1:8">
      <c r="A331" t="s">
        <v>1066</v>
      </c>
      <c r="B331" t="s">
        <v>464</v>
      </c>
      <c r="C331" s="1" t="s">
        <v>463</v>
      </c>
      <c r="D331" t="s">
        <v>1360</v>
      </c>
      <c r="E331" s="5">
        <v>70526.659999999989</v>
      </c>
      <c r="F331" s="5">
        <v>70526.66</v>
      </c>
      <c r="G331" s="2">
        <v>327428.00000000006</v>
      </c>
      <c r="H331" s="2">
        <v>327428</v>
      </c>
    </row>
    <row r="332" spans="1:8">
      <c r="A332" t="s">
        <v>1067</v>
      </c>
      <c r="B332" t="s">
        <v>537</v>
      </c>
      <c r="C332" s="1" t="s">
        <v>536</v>
      </c>
      <c r="D332" t="s">
        <v>1360</v>
      </c>
      <c r="E332" s="5">
        <v>47500</v>
      </c>
      <c r="F332" s="5">
        <v>47500</v>
      </c>
      <c r="G332" s="2">
        <v>48600</v>
      </c>
      <c r="H332" s="2">
        <v>48600</v>
      </c>
    </row>
    <row r="333" spans="1:8">
      <c r="A333" t="s">
        <v>1068</v>
      </c>
      <c r="B333" t="s">
        <v>269</v>
      </c>
      <c r="C333" s="1" t="s">
        <v>516</v>
      </c>
      <c r="D333" t="s">
        <v>1360</v>
      </c>
      <c r="E333" s="5">
        <v>2200979.5500000007</v>
      </c>
      <c r="F333" s="5">
        <v>2200979.5500000003</v>
      </c>
      <c r="G333" s="2">
        <v>67243.14</v>
      </c>
      <c r="H333" s="2">
        <v>67243.14</v>
      </c>
    </row>
    <row r="334" spans="1:8">
      <c r="A334" t="s">
        <v>1071</v>
      </c>
      <c r="B334" t="s">
        <v>415</v>
      </c>
      <c r="C334" s="1" t="s">
        <v>549</v>
      </c>
      <c r="D334" t="s">
        <v>1361</v>
      </c>
      <c r="E334" s="5">
        <v>179346.98</v>
      </c>
      <c r="F334" s="5">
        <v>78912.650000000023</v>
      </c>
      <c r="G334" s="2">
        <v>71768</v>
      </c>
      <c r="H334" s="2">
        <v>71768</v>
      </c>
    </row>
    <row r="335" spans="1:8">
      <c r="A335" t="s">
        <v>1072</v>
      </c>
      <c r="B335" t="s">
        <v>415</v>
      </c>
      <c r="C335" s="1" t="s">
        <v>414</v>
      </c>
      <c r="D335" t="s">
        <v>1361</v>
      </c>
      <c r="E335" s="5">
        <v>79348.350000000006</v>
      </c>
      <c r="F335" s="5">
        <v>76959</v>
      </c>
      <c r="G335" s="2">
        <v>191496.00000000003</v>
      </c>
      <c r="H335" s="2">
        <v>191495.99999999997</v>
      </c>
    </row>
    <row r="336" spans="1:8">
      <c r="A336" t="s">
        <v>1073</v>
      </c>
      <c r="B336" t="s">
        <v>129</v>
      </c>
      <c r="C336" s="1" t="s">
        <v>128</v>
      </c>
      <c r="D336" t="s">
        <v>1362</v>
      </c>
      <c r="E336" s="5">
        <v>2036731.1600000004</v>
      </c>
      <c r="F336" s="5">
        <v>2036731.16</v>
      </c>
      <c r="G336" s="2">
        <v>134886</v>
      </c>
      <c r="H336" s="2">
        <v>134886</v>
      </c>
    </row>
    <row r="337" spans="1:8">
      <c r="A337" t="s">
        <v>1074</v>
      </c>
      <c r="B337" t="s">
        <v>129</v>
      </c>
      <c r="C337" s="1" t="s">
        <v>470</v>
      </c>
      <c r="D337" t="s">
        <v>1362</v>
      </c>
      <c r="E337" s="5">
        <v>57086.61</v>
      </c>
      <c r="F337" s="5">
        <v>56103.61</v>
      </c>
      <c r="G337" s="2">
        <v>282776</v>
      </c>
      <c r="H337" s="2">
        <v>282776</v>
      </c>
    </row>
    <row r="338" spans="1:8">
      <c r="A338" t="s">
        <v>1076</v>
      </c>
      <c r="B338" t="s">
        <v>280</v>
      </c>
      <c r="C338" s="1" t="s">
        <v>279</v>
      </c>
      <c r="D338" t="s">
        <v>1363</v>
      </c>
      <c r="E338" s="5">
        <v>72212.75</v>
      </c>
      <c r="F338" s="5">
        <v>65156.409999999996</v>
      </c>
      <c r="G338" s="2">
        <v>46559</v>
      </c>
      <c r="H338" s="2">
        <v>46218</v>
      </c>
    </row>
    <row r="339" spans="1:8">
      <c r="A339" t="s">
        <v>1078</v>
      </c>
      <c r="B339" t="s">
        <v>433</v>
      </c>
      <c r="C339" s="1" t="s">
        <v>432</v>
      </c>
      <c r="D339" t="s">
        <v>1364</v>
      </c>
      <c r="E339" s="5">
        <v>691756.24</v>
      </c>
      <c r="F339" s="5">
        <v>691756.24000000011</v>
      </c>
      <c r="G339" s="2">
        <v>659190</v>
      </c>
      <c r="H339" s="2">
        <v>659190</v>
      </c>
    </row>
    <row r="340" spans="1:8">
      <c r="A340" t="s">
        <v>1079</v>
      </c>
      <c r="B340" t="s">
        <v>274</v>
      </c>
      <c r="C340" s="1" t="s">
        <v>273</v>
      </c>
      <c r="D340" t="s">
        <v>1365</v>
      </c>
      <c r="E340" s="5">
        <v>146425.94</v>
      </c>
      <c r="F340" s="5">
        <v>137828.44</v>
      </c>
      <c r="G340" s="2">
        <v>35200</v>
      </c>
      <c r="H340" s="2">
        <v>35200</v>
      </c>
    </row>
    <row r="341" spans="1:8">
      <c r="A341" t="s">
        <v>1080</v>
      </c>
      <c r="B341" t="s">
        <v>572</v>
      </c>
      <c r="C341" s="1" t="s">
        <v>571</v>
      </c>
      <c r="D341" t="s">
        <v>1366</v>
      </c>
      <c r="E341" s="5">
        <v>58004.579999999994</v>
      </c>
      <c r="F341" s="5">
        <v>57370.58</v>
      </c>
      <c r="G341" s="2">
        <v>438739.99999999983</v>
      </c>
      <c r="H341" s="2">
        <v>438740</v>
      </c>
    </row>
    <row r="342" spans="1:8">
      <c r="A342" t="s">
        <v>1081</v>
      </c>
      <c r="B342" t="s">
        <v>577</v>
      </c>
      <c r="C342" s="1" t="s">
        <v>576</v>
      </c>
      <c r="D342" t="s">
        <v>1367</v>
      </c>
      <c r="E342" s="5">
        <v>76267.42</v>
      </c>
      <c r="F342" s="5">
        <v>63523.93</v>
      </c>
      <c r="G342" s="2">
        <v>13429.999999999998</v>
      </c>
      <c r="H342" s="2">
        <v>13430</v>
      </c>
    </row>
    <row r="343" spans="1:8">
      <c r="A343" t="s">
        <v>1082</v>
      </c>
      <c r="B343" t="s">
        <v>606</v>
      </c>
      <c r="C343" s="1" t="s">
        <v>605</v>
      </c>
      <c r="D343" t="s">
        <v>1368</v>
      </c>
      <c r="E343" s="5">
        <v>64316.320000000007</v>
      </c>
      <c r="F343" s="5">
        <v>63682.320000000007</v>
      </c>
      <c r="G343" s="2">
        <v>57660.000000000007</v>
      </c>
      <c r="H343" s="2">
        <v>57660</v>
      </c>
    </row>
    <row r="344" spans="1:8">
      <c r="A344" t="s">
        <v>1083</v>
      </c>
      <c r="B344" t="s">
        <v>665</v>
      </c>
      <c r="C344" s="1" t="s">
        <v>664</v>
      </c>
      <c r="D344" t="s">
        <v>1441</v>
      </c>
      <c r="E344" s="5">
        <v>43930.329999999994</v>
      </c>
      <c r="F344" s="5">
        <v>43930.33</v>
      </c>
      <c r="G344" s="2">
        <v>16475</v>
      </c>
      <c r="H344" s="2">
        <v>16475</v>
      </c>
    </row>
    <row r="345" spans="1:8">
      <c r="A345" t="s">
        <v>1084</v>
      </c>
      <c r="B345" t="s">
        <v>665</v>
      </c>
      <c r="C345" s="1" t="s">
        <v>680</v>
      </c>
      <c r="D345" t="s">
        <v>1441</v>
      </c>
      <c r="E345" s="5">
        <v>383917</v>
      </c>
      <c r="F345" s="5">
        <v>383917</v>
      </c>
      <c r="G345" s="2">
        <v>152855</v>
      </c>
      <c r="H345" s="2">
        <v>152855.00000000003</v>
      </c>
    </row>
    <row r="346" spans="1:8">
      <c r="A346" t="s">
        <v>1085</v>
      </c>
      <c r="B346" t="s">
        <v>208</v>
      </c>
      <c r="C346" s="1" t="s">
        <v>207</v>
      </c>
      <c r="D346" t="s">
        <v>1442</v>
      </c>
      <c r="E346" s="5">
        <v>1479140.73</v>
      </c>
      <c r="F346" s="5">
        <v>1433146.76</v>
      </c>
      <c r="G346" s="2">
        <v>186702.99999999997</v>
      </c>
      <c r="H346" s="2">
        <v>185936.9</v>
      </c>
    </row>
    <row r="347" spans="1:8">
      <c r="A347" t="s">
        <v>1086</v>
      </c>
      <c r="B347" t="s">
        <v>208</v>
      </c>
      <c r="C347" s="1" t="s">
        <v>487</v>
      </c>
      <c r="D347" t="s">
        <v>1442</v>
      </c>
      <c r="E347" s="5">
        <v>234441.00000000003</v>
      </c>
      <c r="F347" s="5">
        <v>230925</v>
      </c>
      <c r="G347" s="2">
        <v>311428</v>
      </c>
      <c r="H347" s="2">
        <v>311428</v>
      </c>
    </row>
    <row r="348" spans="1:8">
      <c r="A348" t="s">
        <v>1087</v>
      </c>
      <c r="B348" t="s">
        <v>208</v>
      </c>
      <c r="C348" s="1" t="s">
        <v>512</v>
      </c>
      <c r="D348" t="s">
        <v>1442</v>
      </c>
      <c r="E348" s="5">
        <v>83458</v>
      </c>
      <c r="F348" s="5">
        <v>83458.000000000015</v>
      </c>
      <c r="G348" s="2">
        <v>22150</v>
      </c>
      <c r="H348" s="2">
        <v>22150</v>
      </c>
    </row>
    <row r="349" spans="1:8">
      <c r="A349" t="s">
        <v>1088</v>
      </c>
      <c r="B349" t="s">
        <v>208</v>
      </c>
      <c r="C349" s="1" t="s">
        <v>693</v>
      </c>
      <c r="D349" t="s">
        <v>1442</v>
      </c>
      <c r="E349" s="5">
        <v>8600</v>
      </c>
      <c r="F349" s="5">
        <v>8600</v>
      </c>
      <c r="G349" s="2">
        <v>121488.15</v>
      </c>
      <c r="H349" s="2">
        <v>121488.15</v>
      </c>
    </row>
    <row r="350" spans="1:8">
      <c r="A350" t="s">
        <v>1089</v>
      </c>
      <c r="B350" t="s">
        <v>208</v>
      </c>
      <c r="C350" s="1" t="s">
        <v>616</v>
      </c>
      <c r="D350" t="s">
        <v>1442</v>
      </c>
      <c r="E350" s="5">
        <v>31343</v>
      </c>
      <c r="F350" s="5">
        <v>0</v>
      </c>
      <c r="G350" s="2">
        <v>17669.189999999999</v>
      </c>
      <c r="H350" s="2">
        <v>17669.189999999999</v>
      </c>
    </row>
    <row r="351" spans="1:8">
      <c r="A351" t="s">
        <v>1090</v>
      </c>
      <c r="B351" t="s">
        <v>314</v>
      </c>
      <c r="C351" s="1" t="s">
        <v>318</v>
      </c>
      <c r="D351" t="s">
        <v>1372</v>
      </c>
      <c r="E351" s="5">
        <v>248877.99999999988</v>
      </c>
      <c r="F351" s="5">
        <v>248878</v>
      </c>
      <c r="G351" s="2">
        <v>115778.33</v>
      </c>
      <c r="H351" s="2">
        <v>115778.33</v>
      </c>
    </row>
    <row r="352" spans="1:8">
      <c r="A352" t="s">
        <v>1091</v>
      </c>
      <c r="B352" t="s">
        <v>314</v>
      </c>
      <c r="C352" s="1" t="s">
        <v>313</v>
      </c>
      <c r="D352" t="s">
        <v>1372</v>
      </c>
      <c r="E352" s="5">
        <v>1517911.0000000002</v>
      </c>
      <c r="F352" s="5">
        <v>1517911.0000000002</v>
      </c>
      <c r="G352" s="2">
        <v>22751.120000000003</v>
      </c>
      <c r="H352" s="2">
        <v>22751.119999999995</v>
      </c>
    </row>
    <row r="353" spans="1:8">
      <c r="A353" t="s">
        <v>1092</v>
      </c>
      <c r="B353" t="s">
        <v>244</v>
      </c>
      <c r="C353" s="1" t="s">
        <v>349</v>
      </c>
      <c r="D353" t="s">
        <v>1373</v>
      </c>
      <c r="E353" s="5">
        <v>23019.999999999996</v>
      </c>
      <c r="F353" s="5">
        <v>23020</v>
      </c>
      <c r="G353" s="2">
        <v>45504.130000000005</v>
      </c>
      <c r="H353" s="2">
        <v>45504.13</v>
      </c>
    </row>
    <row r="354" spans="1:8">
      <c r="A354" t="s">
        <v>1093</v>
      </c>
      <c r="B354" t="s">
        <v>244</v>
      </c>
      <c r="C354" s="1" t="s">
        <v>337</v>
      </c>
      <c r="D354" t="s">
        <v>1373</v>
      </c>
      <c r="E354" s="5">
        <v>222273.00000000003</v>
      </c>
      <c r="F354" s="5">
        <v>222273</v>
      </c>
      <c r="G354" s="2">
        <v>228657.66</v>
      </c>
      <c r="H354" s="2">
        <v>228657.66000000003</v>
      </c>
    </row>
    <row r="355" spans="1:8">
      <c r="A355" t="s">
        <v>1094</v>
      </c>
      <c r="B355" t="s">
        <v>244</v>
      </c>
      <c r="C355" s="1" t="s">
        <v>243</v>
      </c>
      <c r="D355" t="s">
        <v>1373</v>
      </c>
      <c r="E355" s="5">
        <v>269732</v>
      </c>
      <c r="F355" s="5">
        <v>261694.63</v>
      </c>
      <c r="G355" s="2">
        <v>160486.04</v>
      </c>
      <c r="H355" s="2">
        <v>160486.04</v>
      </c>
    </row>
    <row r="356" spans="1:8">
      <c r="A356" t="s">
        <v>1095</v>
      </c>
      <c r="B356" t="s">
        <v>244</v>
      </c>
      <c r="C356" s="1" t="s">
        <v>334</v>
      </c>
      <c r="D356" t="s">
        <v>1373</v>
      </c>
      <c r="E356" s="5">
        <v>96686</v>
      </c>
      <c r="F356" s="5">
        <v>96686</v>
      </c>
      <c r="G356" s="2">
        <v>23083.810000000005</v>
      </c>
      <c r="H356" s="2">
        <v>23083.81</v>
      </c>
    </row>
    <row r="357" spans="1:8">
      <c r="A357" t="s">
        <v>1096</v>
      </c>
      <c r="B357" t="s">
        <v>244</v>
      </c>
      <c r="C357" s="1" t="s">
        <v>643</v>
      </c>
      <c r="D357" t="s">
        <v>1373</v>
      </c>
      <c r="E357" s="5">
        <v>25100</v>
      </c>
      <c r="F357" s="5">
        <v>25100</v>
      </c>
      <c r="G357" s="2">
        <v>119347.83</v>
      </c>
      <c r="H357" s="2">
        <v>119347.83</v>
      </c>
    </row>
    <row r="358" spans="1:8">
      <c r="A358" t="s">
        <v>1097</v>
      </c>
      <c r="B358" t="s">
        <v>563</v>
      </c>
      <c r="C358" s="1" t="s">
        <v>697</v>
      </c>
      <c r="D358" t="s">
        <v>1374</v>
      </c>
      <c r="E358" s="5">
        <v>76035</v>
      </c>
      <c r="F358" s="5">
        <v>76035</v>
      </c>
      <c r="G358" s="2">
        <v>8915.35</v>
      </c>
      <c r="H358" s="2">
        <v>8915.3499999999985</v>
      </c>
    </row>
    <row r="359" spans="1:8">
      <c r="A359" t="s">
        <v>1098</v>
      </c>
      <c r="B359" t="s">
        <v>563</v>
      </c>
      <c r="C359" s="1" t="s">
        <v>690</v>
      </c>
      <c r="D359" t="s">
        <v>1374</v>
      </c>
      <c r="E359" s="5">
        <v>6700</v>
      </c>
      <c r="F359" s="5">
        <v>6700</v>
      </c>
      <c r="G359" s="2">
        <v>53629.54</v>
      </c>
      <c r="H359" s="2">
        <v>53629.54</v>
      </c>
    </row>
    <row r="360" spans="1:8">
      <c r="A360" t="s">
        <v>1099</v>
      </c>
      <c r="B360" t="s">
        <v>563</v>
      </c>
      <c r="C360" s="1" t="s">
        <v>562</v>
      </c>
      <c r="D360" t="s">
        <v>1374</v>
      </c>
      <c r="E360" s="5">
        <v>31342</v>
      </c>
      <c r="F360" s="5">
        <v>-1.8189894035458565E-12</v>
      </c>
      <c r="G360" s="2">
        <v>327671.13</v>
      </c>
      <c r="H360" s="2">
        <v>327671.12999999995</v>
      </c>
    </row>
    <row r="361" spans="1:8">
      <c r="A361" t="s">
        <v>1100</v>
      </c>
      <c r="B361" t="s">
        <v>105</v>
      </c>
      <c r="C361" s="1" t="s">
        <v>332</v>
      </c>
      <c r="D361" t="s">
        <v>1375</v>
      </c>
      <c r="E361" s="5">
        <v>25800.000000000004</v>
      </c>
      <c r="F361" s="5">
        <v>23987.55</v>
      </c>
      <c r="G361" s="2">
        <v>31261.18</v>
      </c>
      <c r="H361" s="2">
        <v>31261.18</v>
      </c>
    </row>
    <row r="362" spans="1:8">
      <c r="A362" t="s">
        <v>1101</v>
      </c>
      <c r="B362" t="s">
        <v>105</v>
      </c>
      <c r="C362" s="1" t="s">
        <v>104</v>
      </c>
      <c r="D362" t="s">
        <v>1375</v>
      </c>
      <c r="E362" s="5">
        <v>376551</v>
      </c>
      <c r="F362" s="5">
        <v>376551</v>
      </c>
      <c r="G362" s="2">
        <v>172244.43</v>
      </c>
      <c r="H362" s="2">
        <v>172244.43</v>
      </c>
    </row>
    <row r="363" spans="1:8">
      <c r="A363" t="s">
        <v>1102</v>
      </c>
      <c r="B363" t="s">
        <v>105</v>
      </c>
      <c r="C363" s="1" t="s">
        <v>642</v>
      </c>
      <c r="D363" t="s">
        <v>1375</v>
      </c>
      <c r="E363" s="5">
        <v>12150</v>
      </c>
      <c r="F363" s="5">
        <v>12150</v>
      </c>
      <c r="G363" s="2">
        <v>156707</v>
      </c>
      <c r="H363" s="2">
        <v>156707</v>
      </c>
    </row>
    <row r="364" spans="1:8">
      <c r="A364" t="s">
        <v>1103</v>
      </c>
      <c r="B364" t="s">
        <v>135</v>
      </c>
      <c r="C364" s="1" t="s">
        <v>245</v>
      </c>
      <c r="D364" t="s">
        <v>1376</v>
      </c>
      <c r="E364" s="5">
        <v>257350.00000000006</v>
      </c>
      <c r="F364" s="5">
        <v>257350.00000000003</v>
      </c>
      <c r="G364" s="2">
        <v>607397</v>
      </c>
      <c r="H364" s="2">
        <v>607397</v>
      </c>
    </row>
    <row r="365" spans="1:8">
      <c r="A365" t="s">
        <v>1104</v>
      </c>
      <c r="B365" t="s">
        <v>135</v>
      </c>
      <c r="C365" s="1" t="s">
        <v>139</v>
      </c>
      <c r="D365" t="s">
        <v>1376</v>
      </c>
      <c r="E365" s="5">
        <v>587130</v>
      </c>
      <c r="F365" s="5">
        <v>587130</v>
      </c>
      <c r="G365" s="2">
        <v>37050</v>
      </c>
      <c r="H365" s="2">
        <v>37050</v>
      </c>
    </row>
    <row r="366" spans="1:8">
      <c r="A366" t="s">
        <v>1105</v>
      </c>
      <c r="B366" t="s">
        <v>135</v>
      </c>
      <c r="C366" s="1" t="s">
        <v>247</v>
      </c>
      <c r="D366" t="s">
        <v>1376</v>
      </c>
      <c r="E366" s="5">
        <v>331010</v>
      </c>
      <c r="F366" s="5">
        <v>331010</v>
      </c>
      <c r="G366" s="2">
        <v>68390</v>
      </c>
      <c r="H366" s="2">
        <v>68390</v>
      </c>
    </row>
    <row r="367" spans="1:8">
      <c r="A367" t="s">
        <v>1106</v>
      </c>
      <c r="B367" t="s">
        <v>135</v>
      </c>
      <c r="C367" s="1" t="s">
        <v>134</v>
      </c>
      <c r="D367" t="s">
        <v>1376</v>
      </c>
      <c r="E367" s="5">
        <v>327428</v>
      </c>
      <c r="F367" s="5">
        <v>327428</v>
      </c>
      <c r="G367" s="2">
        <v>11879.999999999998</v>
      </c>
      <c r="H367" s="2">
        <v>11880</v>
      </c>
    </row>
    <row r="368" spans="1:8">
      <c r="A368" t="s">
        <v>1107</v>
      </c>
      <c r="B368" t="s">
        <v>135</v>
      </c>
      <c r="C368" s="1" t="s">
        <v>628</v>
      </c>
      <c r="D368" t="s">
        <v>1376</v>
      </c>
      <c r="E368" s="5">
        <v>48600</v>
      </c>
      <c r="F368" s="5">
        <v>48600</v>
      </c>
      <c r="G368" s="2">
        <v>200000</v>
      </c>
      <c r="H368" s="2">
        <v>0</v>
      </c>
    </row>
    <row r="369" spans="1:8">
      <c r="A369" t="s">
        <v>1108</v>
      </c>
      <c r="B369" t="s">
        <v>660</v>
      </c>
      <c r="C369" s="1" t="s">
        <v>661</v>
      </c>
      <c r="D369" t="s">
        <v>1443</v>
      </c>
      <c r="E369" s="5">
        <v>67243.140000000029</v>
      </c>
      <c r="F369" s="5">
        <v>67243.14</v>
      </c>
      <c r="G369" s="2">
        <v>677954.75</v>
      </c>
      <c r="H369" s="2">
        <v>677954.75</v>
      </c>
    </row>
    <row r="370" spans="1:8">
      <c r="A370" t="s">
        <v>1109</v>
      </c>
      <c r="B370" t="s">
        <v>660</v>
      </c>
      <c r="C370" s="1" t="s">
        <v>662</v>
      </c>
      <c r="D370" t="s">
        <v>1443</v>
      </c>
      <c r="E370" s="5">
        <v>217046.72</v>
      </c>
      <c r="F370" s="5">
        <v>217046.72000000003</v>
      </c>
      <c r="G370" s="2">
        <v>1559001.33</v>
      </c>
      <c r="H370" s="2">
        <v>1559001.33</v>
      </c>
    </row>
    <row r="371" spans="1:8">
      <c r="A371" t="s">
        <v>1110</v>
      </c>
      <c r="B371" t="s">
        <v>660</v>
      </c>
      <c r="C371" s="1" t="s">
        <v>659</v>
      </c>
      <c r="D371" t="s">
        <v>1443</v>
      </c>
      <c r="E371" s="5">
        <v>428074.20999999996</v>
      </c>
      <c r="F371" s="5">
        <v>428074.21</v>
      </c>
      <c r="G371" s="2">
        <v>406539.61</v>
      </c>
      <c r="H371" s="2">
        <v>406539.61000000004</v>
      </c>
    </row>
    <row r="372" spans="1:8">
      <c r="A372" t="s">
        <v>1111</v>
      </c>
      <c r="B372" t="s">
        <v>231</v>
      </c>
      <c r="C372" s="1" t="s">
        <v>239</v>
      </c>
      <c r="D372" t="s">
        <v>1380</v>
      </c>
      <c r="E372" s="5">
        <v>71768</v>
      </c>
      <c r="F372" s="5">
        <v>71768</v>
      </c>
      <c r="G372" s="2">
        <v>2481472.12</v>
      </c>
      <c r="H372" s="2">
        <v>215115.81</v>
      </c>
    </row>
    <row r="373" spans="1:8">
      <c r="A373" t="s">
        <v>1112</v>
      </c>
      <c r="B373" t="s">
        <v>231</v>
      </c>
      <c r="C373" s="1" t="s">
        <v>230</v>
      </c>
      <c r="D373" t="s">
        <v>1380</v>
      </c>
      <c r="E373" s="5">
        <v>191496.00000000006</v>
      </c>
      <c r="F373" s="5">
        <v>191496</v>
      </c>
      <c r="G373" s="2">
        <v>1169159.3999999999</v>
      </c>
      <c r="H373" s="2">
        <v>863912.47000000009</v>
      </c>
    </row>
    <row r="374" spans="1:8">
      <c r="A374" t="s">
        <v>1113</v>
      </c>
      <c r="B374" t="s">
        <v>231</v>
      </c>
      <c r="C374" s="1" t="s">
        <v>234</v>
      </c>
      <c r="D374" t="s">
        <v>1380</v>
      </c>
      <c r="E374" s="5">
        <v>134886</v>
      </c>
      <c r="F374" s="5">
        <v>134886</v>
      </c>
      <c r="G374" s="2">
        <v>36660</v>
      </c>
      <c r="H374" s="2">
        <v>0</v>
      </c>
    </row>
    <row r="375" spans="1:8">
      <c r="A375" t="s">
        <v>1114</v>
      </c>
      <c r="B375" t="s">
        <v>231</v>
      </c>
      <c r="C375" s="1" t="s">
        <v>238</v>
      </c>
      <c r="D375" t="s">
        <v>1380</v>
      </c>
      <c r="E375" s="5">
        <v>282776</v>
      </c>
      <c r="F375" s="5">
        <v>282776</v>
      </c>
      <c r="G375" s="2">
        <v>92080</v>
      </c>
      <c r="H375" s="2">
        <v>0</v>
      </c>
    </row>
    <row r="376" spans="1:8">
      <c r="A376" t="s">
        <v>1115</v>
      </c>
      <c r="B376" t="s">
        <v>231</v>
      </c>
      <c r="C376" s="1" t="s">
        <v>237</v>
      </c>
      <c r="D376" t="s">
        <v>1380</v>
      </c>
      <c r="E376" s="5">
        <v>22950</v>
      </c>
      <c r="F376" s="5">
        <v>22950</v>
      </c>
      <c r="G376" s="2">
        <v>706550.74</v>
      </c>
      <c r="H376" s="2">
        <v>706550.74</v>
      </c>
    </row>
    <row r="377" spans="1:8">
      <c r="A377" t="s">
        <v>1116</v>
      </c>
      <c r="B377" t="s">
        <v>83</v>
      </c>
      <c r="C377" s="1" t="s">
        <v>253</v>
      </c>
      <c r="D377" t="s">
        <v>1381</v>
      </c>
      <c r="E377" s="5">
        <v>46559</v>
      </c>
      <c r="F377" s="5">
        <v>46371.71</v>
      </c>
      <c r="G377" s="2">
        <v>75812.479999999996</v>
      </c>
      <c r="H377" s="2">
        <v>58264.669999999991</v>
      </c>
    </row>
    <row r="378" spans="1:8">
      <c r="A378" t="s">
        <v>1117</v>
      </c>
      <c r="B378" t="s">
        <v>83</v>
      </c>
      <c r="C378" s="1" t="s">
        <v>82</v>
      </c>
      <c r="D378" t="s">
        <v>1381</v>
      </c>
      <c r="E378" s="5">
        <v>601731</v>
      </c>
      <c r="F378" s="5">
        <v>601731</v>
      </c>
      <c r="G378" s="2">
        <v>94630.94</v>
      </c>
      <c r="H378" s="2">
        <v>94536.37</v>
      </c>
    </row>
    <row r="379" spans="1:8">
      <c r="A379" t="s">
        <v>1118</v>
      </c>
      <c r="B379" t="s">
        <v>83</v>
      </c>
      <c r="C379" s="1" t="s">
        <v>144</v>
      </c>
      <c r="D379" t="s">
        <v>1381</v>
      </c>
      <c r="E379" s="5">
        <v>659190</v>
      </c>
      <c r="F379" s="5">
        <v>659190</v>
      </c>
      <c r="G379" s="2">
        <v>51289.119999999995</v>
      </c>
      <c r="H379" s="2">
        <v>44634.96</v>
      </c>
    </row>
    <row r="380" spans="1:8">
      <c r="A380" t="s">
        <v>1119</v>
      </c>
      <c r="B380" t="s">
        <v>83</v>
      </c>
      <c r="C380" s="1" t="s">
        <v>639</v>
      </c>
      <c r="D380" t="s">
        <v>1381</v>
      </c>
      <c r="E380" s="5">
        <v>35200</v>
      </c>
      <c r="F380" s="5">
        <v>35200</v>
      </c>
      <c r="G380" s="2">
        <v>84956.160000000003</v>
      </c>
      <c r="H380" s="2">
        <v>76534.819999999992</v>
      </c>
    </row>
    <row r="381" spans="1:8">
      <c r="A381" t="s">
        <v>1120</v>
      </c>
      <c r="B381" t="s">
        <v>83</v>
      </c>
      <c r="C381" s="1" t="s">
        <v>1444</v>
      </c>
      <c r="D381" t="s">
        <v>1381</v>
      </c>
      <c r="E381" s="5">
        <v>51799.55000000001</v>
      </c>
      <c r="F381" s="5">
        <v>31866.21</v>
      </c>
      <c r="G381" s="2">
        <v>40048.370000000003</v>
      </c>
      <c r="H381" s="2">
        <v>40048.369999999995</v>
      </c>
    </row>
    <row r="382" spans="1:8">
      <c r="A382" t="s">
        <v>1121</v>
      </c>
      <c r="B382" t="s">
        <v>339</v>
      </c>
      <c r="C382" s="1" t="s">
        <v>338</v>
      </c>
      <c r="D382" t="s">
        <v>1376</v>
      </c>
      <c r="E382" s="5">
        <v>438739.99999999994</v>
      </c>
      <c r="F382" s="5">
        <v>438740</v>
      </c>
      <c r="G382" s="2">
        <v>232363</v>
      </c>
      <c r="H382" s="2">
        <v>206328.49</v>
      </c>
    </row>
    <row r="383" spans="1:8">
      <c r="A383" t="s">
        <v>1122</v>
      </c>
      <c r="B383" t="s">
        <v>339</v>
      </c>
      <c r="C383" s="1" t="s">
        <v>344</v>
      </c>
      <c r="D383" t="s">
        <v>1376</v>
      </c>
      <c r="E383" s="5">
        <v>13430.000000000002</v>
      </c>
      <c r="F383" s="5">
        <v>13430</v>
      </c>
      <c r="G383" s="2">
        <v>336867</v>
      </c>
      <c r="H383" s="2">
        <v>319990</v>
      </c>
    </row>
    <row r="384" spans="1:8">
      <c r="A384" t="s">
        <v>1123</v>
      </c>
      <c r="B384" t="s">
        <v>348</v>
      </c>
      <c r="C384" s="1" t="s">
        <v>347</v>
      </c>
      <c r="D384" t="s">
        <v>1376</v>
      </c>
      <c r="E384" s="5">
        <v>57660</v>
      </c>
      <c r="F384" s="5">
        <v>57660</v>
      </c>
      <c r="G384" s="2">
        <v>52713.919999999998</v>
      </c>
      <c r="H384" s="2">
        <v>52713.920000000006</v>
      </c>
    </row>
    <row r="385" spans="1:8">
      <c r="A385" t="s">
        <v>1124</v>
      </c>
      <c r="B385" t="s">
        <v>343</v>
      </c>
      <c r="C385" s="1" t="s">
        <v>342</v>
      </c>
      <c r="D385" t="s">
        <v>1376</v>
      </c>
      <c r="E385" s="5">
        <v>16475</v>
      </c>
      <c r="F385" s="5">
        <v>16475</v>
      </c>
      <c r="G385" s="2">
        <v>59025.32</v>
      </c>
      <c r="H385" s="2">
        <v>59025.32</v>
      </c>
    </row>
    <row r="386" spans="1:8">
      <c r="A386" t="s">
        <v>1125</v>
      </c>
      <c r="B386" t="s">
        <v>119</v>
      </c>
      <c r="C386" s="1" t="s">
        <v>246</v>
      </c>
      <c r="D386" t="s">
        <v>1386</v>
      </c>
      <c r="E386" s="5">
        <v>152855</v>
      </c>
      <c r="F386" s="5">
        <v>152855</v>
      </c>
      <c r="G386" s="2">
        <v>775920.48999999976</v>
      </c>
      <c r="H386" s="2">
        <v>775920.49</v>
      </c>
    </row>
    <row r="387" spans="1:8">
      <c r="A387" t="s">
        <v>1126</v>
      </c>
      <c r="B387" t="s">
        <v>119</v>
      </c>
      <c r="C387" s="1" t="s">
        <v>333</v>
      </c>
      <c r="D387" t="s">
        <v>1386</v>
      </c>
      <c r="E387" s="5">
        <v>186702.99999999997</v>
      </c>
      <c r="F387" s="5">
        <v>186282.24000000002</v>
      </c>
      <c r="G387" s="2">
        <v>427083.32999999996</v>
      </c>
      <c r="H387" s="2">
        <v>377420.76000000007</v>
      </c>
    </row>
    <row r="388" spans="1:8">
      <c r="A388" t="s">
        <v>1127</v>
      </c>
      <c r="B388" t="s">
        <v>119</v>
      </c>
      <c r="C388" s="1" t="s">
        <v>118</v>
      </c>
      <c r="D388" t="s">
        <v>1386</v>
      </c>
      <c r="E388" s="5">
        <v>311428</v>
      </c>
      <c r="F388" s="5">
        <v>311428</v>
      </c>
      <c r="G388" s="2">
        <v>42894.029999999992</v>
      </c>
      <c r="H388" s="2">
        <v>42894.030000000006</v>
      </c>
    </row>
    <row r="389" spans="1:8">
      <c r="A389" t="s">
        <v>1128</v>
      </c>
      <c r="B389" t="s">
        <v>119</v>
      </c>
      <c r="C389" s="1" t="s">
        <v>640</v>
      </c>
      <c r="D389" t="s">
        <v>1386</v>
      </c>
      <c r="E389" s="5">
        <v>22149.999999999996</v>
      </c>
      <c r="F389" s="5">
        <v>22150</v>
      </c>
      <c r="G389" s="2">
        <v>32401.3</v>
      </c>
      <c r="H389" s="2">
        <v>32401.3</v>
      </c>
    </row>
    <row r="390" spans="1:8">
      <c r="A390" t="s">
        <v>1129</v>
      </c>
      <c r="B390" t="s">
        <v>161</v>
      </c>
      <c r="C390" s="1" t="s">
        <v>168</v>
      </c>
      <c r="D390" t="s">
        <v>1387</v>
      </c>
      <c r="E390" s="5">
        <v>121488.15</v>
      </c>
      <c r="F390" s="5">
        <v>121488.15</v>
      </c>
      <c r="G390" s="2">
        <v>76986</v>
      </c>
      <c r="H390" s="2">
        <v>44280</v>
      </c>
    </row>
    <row r="391" spans="1:8">
      <c r="A391" t="s">
        <v>1130</v>
      </c>
      <c r="B391" t="s">
        <v>161</v>
      </c>
      <c r="C391" s="1" t="s">
        <v>160</v>
      </c>
      <c r="D391" t="s">
        <v>1387</v>
      </c>
      <c r="E391" s="5">
        <v>17669.190000000002</v>
      </c>
      <c r="F391" s="5">
        <v>17669.189999999999</v>
      </c>
      <c r="G391" s="2">
        <v>119449.45000000001</v>
      </c>
      <c r="H391" s="2">
        <v>107529.45</v>
      </c>
    </row>
    <row r="392" spans="1:8">
      <c r="A392" t="s">
        <v>1131</v>
      </c>
      <c r="B392" t="s">
        <v>148</v>
      </c>
      <c r="C392" s="1" t="s">
        <v>147</v>
      </c>
      <c r="D392" t="s">
        <v>1387</v>
      </c>
      <c r="E392" s="5">
        <v>115778.33</v>
      </c>
      <c r="F392" s="5">
        <v>115778.33</v>
      </c>
      <c r="G392" s="2">
        <v>34920.699999999997</v>
      </c>
      <c r="H392" s="2">
        <v>34920.699999999997</v>
      </c>
    </row>
    <row r="393" spans="1:8">
      <c r="A393" t="s">
        <v>1132</v>
      </c>
      <c r="B393" t="s">
        <v>148</v>
      </c>
      <c r="C393" s="1" t="s">
        <v>166</v>
      </c>
      <c r="D393" t="s">
        <v>1387</v>
      </c>
      <c r="E393" s="5">
        <v>22751.119999999995</v>
      </c>
      <c r="F393" s="5">
        <v>22751.119999999999</v>
      </c>
      <c r="G393" s="2">
        <v>70873.119999999995</v>
      </c>
      <c r="H393" s="2">
        <v>70873.119999999995</v>
      </c>
    </row>
    <row r="394" spans="1:8">
      <c r="A394" t="s">
        <v>1133</v>
      </c>
      <c r="B394" t="s">
        <v>157</v>
      </c>
      <c r="C394" s="1" t="s">
        <v>173</v>
      </c>
      <c r="D394" t="s">
        <v>1387</v>
      </c>
      <c r="E394" s="5">
        <v>45504.12999999999</v>
      </c>
      <c r="F394" s="5">
        <v>45504.130000000005</v>
      </c>
      <c r="G394" s="2">
        <v>42162.78</v>
      </c>
      <c r="H394" s="2">
        <v>42162.780000000006</v>
      </c>
    </row>
    <row r="395" spans="1:8">
      <c r="A395" t="s">
        <v>1134</v>
      </c>
      <c r="B395" t="s">
        <v>157</v>
      </c>
      <c r="C395" s="1" t="s">
        <v>156</v>
      </c>
      <c r="D395" t="s">
        <v>1387</v>
      </c>
      <c r="E395" s="5">
        <v>228657.66</v>
      </c>
      <c r="F395" s="5">
        <v>228657.66</v>
      </c>
      <c r="G395" s="2">
        <v>31354.28</v>
      </c>
      <c r="H395" s="2">
        <v>31354.28</v>
      </c>
    </row>
    <row r="396" spans="1:8">
      <c r="A396" t="s">
        <v>1135</v>
      </c>
      <c r="B396" t="s">
        <v>146</v>
      </c>
      <c r="C396" s="1" t="s">
        <v>167</v>
      </c>
      <c r="D396" t="s">
        <v>1387</v>
      </c>
      <c r="E396" s="5">
        <v>160486.03999999995</v>
      </c>
      <c r="F396" s="5">
        <v>160486.03999999998</v>
      </c>
      <c r="G396" s="2">
        <v>162806.08999999997</v>
      </c>
      <c r="H396" s="2">
        <v>155016.57999999999</v>
      </c>
    </row>
    <row r="397" spans="1:8">
      <c r="A397" t="s">
        <v>1136</v>
      </c>
      <c r="B397" t="s">
        <v>146</v>
      </c>
      <c r="C397" s="1" t="s">
        <v>145</v>
      </c>
      <c r="D397" t="s">
        <v>1387</v>
      </c>
      <c r="E397" s="5">
        <v>23083.809999999998</v>
      </c>
      <c r="F397" s="5">
        <v>23083.81</v>
      </c>
      <c r="G397" s="2">
        <v>41531.300000000003</v>
      </c>
      <c r="H397" s="2">
        <v>41531.299999999996</v>
      </c>
    </row>
    <row r="398" spans="1:8">
      <c r="A398" t="s">
        <v>1137</v>
      </c>
      <c r="B398" t="s">
        <v>152</v>
      </c>
      <c r="C398" s="1" t="s">
        <v>162</v>
      </c>
      <c r="D398" t="s">
        <v>1387</v>
      </c>
      <c r="E398" s="5">
        <v>119347.82999999999</v>
      </c>
      <c r="F398" s="5">
        <v>119347.83</v>
      </c>
      <c r="G398" s="2">
        <v>15305.46</v>
      </c>
      <c r="H398" s="2">
        <v>15305.46</v>
      </c>
    </row>
    <row r="399" spans="1:8">
      <c r="A399" t="s">
        <v>1138</v>
      </c>
      <c r="B399" t="s">
        <v>152</v>
      </c>
      <c r="C399" s="1" t="s">
        <v>151</v>
      </c>
      <c r="D399" t="s">
        <v>1387</v>
      </c>
      <c r="E399" s="5">
        <v>8915.3500000000022</v>
      </c>
      <c r="F399" s="5">
        <v>8915.35</v>
      </c>
      <c r="G399" s="2">
        <v>42648.47</v>
      </c>
      <c r="H399" s="2">
        <v>42648.469999999994</v>
      </c>
    </row>
    <row r="400" spans="1:8">
      <c r="A400" t="s">
        <v>1139</v>
      </c>
      <c r="B400" t="s">
        <v>159</v>
      </c>
      <c r="C400" s="1" t="s">
        <v>165</v>
      </c>
      <c r="D400" t="s">
        <v>1387</v>
      </c>
      <c r="E400" s="5">
        <v>53629.540000000008</v>
      </c>
      <c r="F400" s="5">
        <v>53629.539999999994</v>
      </c>
      <c r="G400" s="2">
        <v>59388</v>
      </c>
      <c r="H400" s="2">
        <v>59388</v>
      </c>
    </row>
    <row r="401" spans="1:8">
      <c r="A401" t="s">
        <v>1140</v>
      </c>
      <c r="B401" t="s">
        <v>159</v>
      </c>
      <c r="C401" s="1" t="s">
        <v>158</v>
      </c>
      <c r="D401" t="s">
        <v>1387</v>
      </c>
      <c r="E401" s="5">
        <v>327671.13</v>
      </c>
      <c r="F401" s="5">
        <v>327671.13</v>
      </c>
      <c r="G401" s="2">
        <v>549226.47000000009</v>
      </c>
      <c r="H401" s="2">
        <v>549226.47</v>
      </c>
    </row>
    <row r="402" spans="1:8">
      <c r="A402" t="s">
        <v>1141</v>
      </c>
      <c r="B402" t="s">
        <v>154</v>
      </c>
      <c r="C402" s="1" t="s">
        <v>153</v>
      </c>
      <c r="D402" t="s">
        <v>1387</v>
      </c>
      <c r="E402" s="5">
        <v>31261.180000000004</v>
      </c>
      <c r="F402" s="5">
        <v>31261.179999999997</v>
      </c>
      <c r="G402" s="2">
        <v>569926</v>
      </c>
      <c r="H402" s="2">
        <v>569926</v>
      </c>
    </row>
    <row r="403" spans="1:8">
      <c r="A403" t="s">
        <v>1142</v>
      </c>
      <c r="B403" t="s">
        <v>154</v>
      </c>
      <c r="C403" s="1" t="s">
        <v>155</v>
      </c>
      <c r="D403" t="s">
        <v>1387</v>
      </c>
      <c r="E403" s="5">
        <v>172244.42999999996</v>
      </c>
      <c r="F403" s="5">
        <v>172244.43</v>
      </c>
      <c r="G403" s="2">
        <v>411961.46000000008</v>
      </c>
      <c r="H403" s="2">
        <v>411961.45999999996</v>
      </c>
    </row>
    <row r="404" spans="1:8">
      <c r="A404" t="s">
        <v>1143</v>
      </c>
      <c r="B404" t="s">
        <v>123</v>
      </c>
      <c r="C404" s="1" t="s">
        <v>345</v>
      </c>
      <c r="D404" t="s">
        <v>1388</v>
      </c>
      <c r="E404" s="5">
        <v>68390</v>
      </c>
      <c r="F404" s="5">
        <v>68390</v>
      </c>
      <c r="G404" s="2">
        <v>655646.64999999991</v>
      </c>
      <c r="H404" s="2">
        <v>655646.65000000014</v>
      </c>
    </row>
    <row r="405" spans="1:8">
      <c r="A405" t="s">
        <v>1144</v>
      </c>
      <c r="B405" t="s">
        <v>123</v>
      </c>
      <c r="C405" s="1" t="s">
        <v>352</v>
      </c>
      <c r="D405" t="s">
        <v>1388</v>
      </c>
      <c r="E405" s="5">
        <v>11880</v>
      </c>
      <c r="F405" s="5">
        <v>11880</v>
      </c>
      <c r="G405" s="2">
        <v>373068</v>
      </c>
      <c r="H405" s="2">
        <v>35832</v>
      </c>
    </row>
    <row r="406" spans="1:8">
      <c r="B406" t="s">
        <v>123</v>
      </c>
      <c r="C406" t="s">
        <v>252</v>
      </c>
      <c r="D406" t="s">
        <v>1388</v>
      </c>
      <c r="E406" s="5">
        <v>156707</v>
      </c>
      <c r="F406" s="5">
        <v>156707</v>
      </c>
    </row>
    <row r="407" spans="1:8">
      <c r="B407" t="s">
        <v>123</v>
      </c>
      <c r="C407" t="s">
        <v>122</v>
      </c>
      <c r="D407" t="s">
        <v>1388</v>
      </c>
      <c r="E407" s="5">
        <v>607397.00000000012</v>
      </c>
      <c r="F407" s="5">
        <v>607397</v>
      </c>
    </row>
    <row r="408" spans="1:8">
      <c r="B408" t="s">
        <v>123</v>
      </c>
      <c r="C408" t="s">
        <v>641</v>
      </c>
      <c r="D408" t="s">
        <v>1388</v>
      </c>
      <c r="E408" s="5">
        <v>37050</v>
      </c>
      <c r="F408" s="5">
        <v>37050</v>
      </c>
      <c r="G408" s="2"/>
      <c r="H408" s="2"/>
    </row>
    <row r="409" spans="1:8">
      <c r="B409" t="s">
        <v>637</v>
      </c>
      <c r="C409" t="s">
        <v>636</v>
      </c>
      <c r="D409" t="s">
        <v>1390</v>
      </c>
      <c r="E409" s="5">
        <v>165086.25999999995</v>
      </c>
      <c r="F409" s="5">
        <v>165086.25999999998</v>
      </c>
    </row>
    <row r="410" spans="1:8">
      <c r="B410" t="s">
        <v>150</v>
      </c>
      <c r="C410" t="s">
        <v>149</v>
      </c>
      <c r="D410" t="s">
        <v>1391</v>
      </c>
      <c r="E410" s="5">
        <v>677954.74999999988</v>
      </c>
      <c r="F410" s="5">
        <v>677954.75</v>
      </c>
    </row>
    <row r="411" spans="1:8">
      <c r="B411" t="s">
        <v>74</v>
      </c>
      <c r="C411" t="s">
        <v>73</v>
      </c>
      <c r="D411" t="s">
        <v>1392</v>
      </c>
      <c r="E411" s="5">
        <v>1559001.33</v>
      </c>
      <c r="F411" s="5">
        <v>1559001.33</v>
      </c>
    </row>
    <row r="412" spans="1:8">
      <c r="B412" t="s">
        <v>655</v>
      </c>
      <c r="C412" t="s">
        <v>654</v>
      </c>
      <c r="D412" t="s">
        <v>1393</v>
      </c>
      <c r="E412" s="5">
        <v>406539.60999999993</v>
      </c>
      <c r="F412" s="5">
        <v>406539.61000000004</v>
      </c>
    </row>
    <row r="413" spans="1:8">
      <c r="B413" t="s">
        <v>409</v>
      </c>
      <c r="C413" t="s">
        <v>408</v>
      </c>
      <c r="D413" t="s">
        <v>1394</v>
      </c>
      <c r="E413" s="5">
        <v>2481472.12</v>
      </c>
      <c r="F413" s="5">
        <v>449504.88000000012</v>
      </c>
    </row>
    <row r="414" spans="1:8">
      <c r="B414" t="s">
        <v>409</v>
      </c>
      <c r="C414" t="s">
        <v>490</v>
      </c>
      <c r="D414" t="s">
        <v>1394</v>
      </c>
      <c r="E414" s="5">
        <v>1169159.3999999999</v>
      </c>
      <c r="F414" s="5">
        <v>963956.57000000007</v>
      </c>
    </row>
    <row r="415" spans="1:8">
      <c r="B415" t="s">
        <v>548</v>
      </c>
      <c r="C415" t="s">
        <v>547</v>
      </c>
      <c r="D415" t="s">
        <v>1395</v>
      </c>
      <c r="E415" s="5">
        <v>36660</v>
      </c>
      <c r="F415" s="5">
        <v>30160</v>
      </c>
    </row>
    <row r="416" spans="1:8">
      <c r="B416" t="s">
        <v>608</v>
      </c>
      <c r="C416" t="s">
        <v>607</v>
      </c>
      <c r="D416" t="s">
        <v>1396</v>
      </c>
      <c r="E416" s="5">
        <v>92080</v>
      </c>
    </row>
    <row r="417" spans="2:6">
      <c r="B417" t="s">
        <v>89</v>
      </c>
      <c r="C417" t="s">
        <v>88</v>
      </c>
      <c r="D417" t="s">
        <v>1397</v>
      </c>
      <c r="E417" s="5">
        <v>706550.74</v>
      </c>
      <c r="F417" s="5">
        <v>706550.74</v>
      </c>
    </row>
    <row r="418" spans="2:6">
      <c r="B418" t="s">
        <v>258</v>
      </c>
      <c r="C418" t="s">
        <v>259</v>
      </c>
      <c r="D418" t="s">
        <v>1398</v>
      </c>
      <c r="E418" s="5">
        <v>17020.460000000003</v>
      </c>
      <c r="F418" s="5">
        <v>21458.960000000003</v>
      </c>
    </row>
    <row r="419" spans="2:6">
      <c r="B419" t="s">
        <v>258</v>
      </c>
      <c r="C419" t="s">
        <v>1470</v>
      </c>
      <c r="D419" t="s">
        <v>1433</v>
      </c>
      <c r="E419" s="5">
        <v>53579.009999999987</v>
      </c>
      <c r="F419" s="5">
        <v>49140.51</v>
      </c>
    </row>
    <row r="420" spans="2:6">
      <c r="B420" t="s">
        <v>258</v>
      </c>
      <c r="C420" t="s">
        <v>257</v>
      </c>
      <c r="D420" t="s">
        <v>1398</v>
      </c>
      <c r="E420" s="5">
        <v>94630.939999999988</v>
      </c>
      <c r="F420" s="5">
        <v>94630.939999999988</v>
      </c>
    </row>
    <row r="421" spans="2:6">
      <c r="B421" t="s">
        <v>356</v>
      </c>
      <c r="C421" t="s">
        <v>355</v>
      </c>
      <c r="D421" t="s">
        <v>1433</v>
      </c>
      <c r="E421" s="5">
        <v>50814.039999999994</v>
      </c>
      <c r="F421" s="5">
        <v>50814.04</v>
      </c>
    </row>
    <row r="422" spans="2:6">
      <c r="B422" t="s">
        <v>375</v>
      </c>
      <c r="C422" t="s">
        <v>374</v>
      </c>
      <c r="D422" t="s">
        <v>1433</v>
      </c>
      <c r="E422" s="5">
        <v>83788.399999999994</v>
      </c>
      <c r="F422" s="5">
        <v>83788.399999999994</v>
      </c>
    </row>
    <row r="423" spans="2:6">
      <c r="B423" t="s">
        <v>72</v>
      </c>
      <c r="C423" t="s">
        <v>71</v>
      </c>
      <c r="D423" t="s">
        <v>1401</v>
      </c>
      <c r="E423" s="5">
        <v>40048.370000000003</v>
      </c>
      <c r="F423" s="5">
        <v>40048.370000000003</v>
      </c>
    </row>
    <row r="424" spans="2:6">
      <c r="B424" t="s">
        <v>131</v>
      </c>
      <c r="C424" t="s">
        <v>227</v>
      </c>
      <c r="D424" t="s">
        <v>1402</v>
      </c>
      <c r="E424" s="5">
        <v>232363</v>
      </c>
      <c r="F424" s="5">
        <v>210732.04</v>
      </c>
    </row>
    <row r="425" spans="2:6">
      <c r="B425" t="s">
        <v>131</v>
      </c>
      <c r="C425" t="s">
        <v>130</v>
      </c>
      <c r="D425" t="s">
        <v>1402</v>
      </c>
      <c r="E425" s="5">
        <v>336867</v>
      </c>
      <c r="F425" s="5">
        <v>319990</v>
      </c>
    </row>
    <row r="426" spans="2:6">
      <c r="B426" t="s">
        <v>131</v>
      </c>
      <c r="C426" t="s">
        <v>330</v>
      </c>
      <c r="D426" t="s">
        <v>1402</v>
      </c>
      <c r="E426" s="5">
        <v>52713.919999999998</v>
      </c>
      <c r="F426" s="5">
        <v>52713.919999999998</v>
      </c>
    </row>
    <row r="427" spans="2:6">
      <c r="B427" t="s">
        <v>33</v>
      </c>
      <c r="C427" t="s">
        <v>32</v>
      </c>
      <c r="D427" t="s">
        <v>1403</v>
      </c>
      <c r="E427" s="5">
        <v>67344.850000000006</v>
      </c>
      <c r="F427" s="5">
        <v>67344.850000000006</v>
      </c>
    </row>
    <row r="428" spans="2:6">
      <c r="B428" t="s">
        <v>336</v>
      </c>
      <c r="C428" t="s">
        <v>335</v>
      </c>
      <c r="D428" t="s">
        <v>1404</v>
      </c>
      <c r="E428" s="5">
        <v>775920.48999999976</v>
      </c>
      <c r="F428" s="5">
        <v>775920.49</v>
      </c>
    </row>
    <row r="429" spans="2:6">
      <c r="B429" t="s">
        <v>111</v>
      </c>
      <c r="C429" t="s">
        <v>110</v>
      </c>
      <c r="D429" t="s">
        <v>1405</v>
      </c>
      <c r="E429" s="5">
        <v>439758.32999999996</v>
      </c>
      <c r="F429" s="5">
        <v>422144.03000000009</v>
      </c>
    </row>
    <row r="430" spans="2:6">
      <c r="B430" t="s">
        <v>111</v>
      </c>
      <c r="C430" t="s">
        <v>331</v>
      </c>
      <c r="D430" t="s">
        <v>1406</v>
      </c>
      <c r="E430" s="5">
        <v>42894.030000000006</v>
      </c>
      <c r="F430" s="5">
        <v>42894.030000000006</v>
      </c>
    </row>
    <row r="431" spans="2:6">
      <c r="B431" t="s">
        <v>69</v>
      </c>
      <c r="C431" t="s">
        <v>68</v>
      </c>
      <c r="D431" t="s">
        <v>1407</v>
      </c>
      <c r="E431" s="5">
        <v>32401.300000000003</v>
      </c>
      <c r="F431" s="5">
        <v>32401.3</v>
      </c>
    </row>
    <row r="432" spans="2:6">
      <c r="B432" t="s">
        <v>69</v>
      </c>
      <c r="C432" t="s">
        <v>311</v>
      </c>
      <c r="D432" t="s">
        <v>1407</v>
      </c>
      <c r="E432" s="5">
        <v>76986</v>
      </c>
      <c r="F432" s="5">
        <v>76986</v>
      </c>
    </row>
    <row r="433" spans="2:6">
      <c r="B433" t="s">
        <v>69</v>
      </c>
      <c r="C433" t="s">
        <v>289</v>
      </c>
      <c r="D433" t="s">
        <v>1407</v>
      </c>
      <c r="E433" s="5">
        <v>119449.45</v>
      </c>
      <c r="F433" s="5">
        <v>119449.45</v>
      </c>
    </row>
    <row r="434" spans="2:6">
      <c r="B434" t="s">
        <v>67</v>
      </c>
      <c r="C434" t="s">
        <v>66</v>
      </c>
      <c r="D434" t="s">
        <v>1408</v>
      </c>
      <c r="E434" s="5">
        <v>34920.699999999997</v>
      </c>
      <c r="F434" s="5">
        <v>34920.699999999997</v>
      </c>
    </row>
    <row r="435" spans="2:6">
      <c r="B435" t="s">
        <v>78</v>
      </c>
      <c r="C435" t="s">
        <v>77</v>
      </c>
      <c r="D435" t="s">
        <v>1409</v>
      </c>
      <c r="E435" s="5">
        <v>70873.119999999995</v>
      </c>
      <c r="F435" s="5">
        <v>70873.119999999995</v>
      </c>
    </row>
    <row r="436" spans="2:6">
      <c r="B436" t="s">
        <v>320</v>
      </c>
      <c r="C436" t="s">
        <v>319</v>
      </c>
      <c r="D436" t="s">
        <v>1410</v>
      </c>
      <c r="E436" s="5">
        <v>42162.78</v>
      </c>
      <c r="F436" s="5">
        <v>42162.78</v>
      </c>
    </row>
    <row r="437" spans="2:6">
      <c r="B437" t="s">
        <v>316</v>
      </c>
      <c r="C437" t="s">
        <v>315</v>
      </c>
      <c r="D437" t="s">
        <v>1410</v>
      </c>
      <c r="E437" s="5">
        <v>31354.28</v>
      </c>
      <c r="F437" s="5">
        <v>31354.28</v>
      </c>
    </row>
    <row r="438" spans="2:6">
      <c r="B438" t="s">
        <v>229</v>
      </c>
      <c r="C438" t="s">
        <v>228</v>
      </c>
      <c r="D438" t="s">
        <v>1411</v>
      </c>
      <c r="E438" s="5">
        <v>162720.99000000002</v>
      </c>
      <c r="F438" s="5">
        <v>162720.99</v>
      </c>
    </row>
    <row r="439" spans="2:6">
      <c r="B439" t="s">
        <v>76</v>
      </c>
      <c r="C439" t="s">
        <v>75</v>
      </c>
      <c r="D439" t="s">
        <v>1412</v>
      </c>
      <c r="E439" s="5">
        <v>41531.300000000003</v>
      </c>
      <c r="F439" s="5">
        <v>41531.300000000003</v>
      </c>
    </row>
    <row r="440" spans="2:6">
      <c r="B440" t="s">
        <v>322</v>
      </c>
      <c r="C440" t="s">
        <v>321</v>
      </c>
      <c r="D440" t="s">
        <v>1413</v>
      </c>
      <c r="E440" s="5">
        <v>15305.46</v>
      </c>
      <c r="F440" s="5">
        <v>15305.46</v>
      </c>
    </row>
    <row r="441" spans="2:6">
      <c r="B441" t="s">
        <v>39</v>
      </c>
      <c r="C441" t="s">
        <v>38</v>
      </c>
      <c r="D441" t="s">
        <v>1414</v>
      </c>
      <c r="E441" s="5">
        <v>48048.47</v>
      </c>
      <c r="F441" s="5">
        <v>47507.78</v>
      </c>
    </row>
    <row r="442" spans="2:6">
      <c r="B442" t="s">
        <v>448</v>
      </c>
      <c r="C442" t="s">
        <v>447</v>
      </c>
      <c r="D442" t="s">
        <v>1415</v>
      </c>
      <c r="E442" s="5">
        <v>59388</v>
      </c>
      <c r="F442" s="5">
        <v>59388</v>
      </c>
    </row>
    <row r="443" spans="2:6">
      <c r="B443" t="s">
        <v>15</v>
      </c>
      <c r="C443" t="s">
        <v>218</v>
      </c>
      <c r="D443" t="s">
        <v>1416</v>
      </c>
      <c r="E443" s="5">
        <v>549226.47</v>
      </c>
      <c r="F443" s="5">
        <v>549226.46999999986</v>
      </c>
    </row>
    <row r="444" spans="2:6">
      <c r="B444" t="s">
        <v>15</v>
      </c>
      <c r="C444" t="s">
        <v>14</v>
      </c>
      <c r="D444" t="s">
        <v>1417</v>
      </c>
      <c r="E444" s="5">
        <v>569926</v>
      </c>
      <c r="F444" s="5">
        <v>569926</v>
      </c>
    </row>
    <row r="445" spans="2:6">
      <c r="B445" t="s">
        <v>249</v>
      </c>
      <c r="C445" t="s">
        <v>248</v>
      </c>
      <c r="D445" t="s">
        <v>1418</v>
      </c>
      <c r="E445" s="5">
        <v>411961.4600000002</v>
      </c>
      <c r="F445" s="5">
        <v>411961.4599999999</v>
      </c>
    </row>
    <row r="446" spans="2:6">
      <c r="B446" t="s">
        <v>60</v>
      </c>
      <c r="C446" t="s">
        <v>59</v>
      </c>
      <c r="D446" t="s">
        <v>1419</v>
      </c>
      <c r="E446" s="5">
        <v>655646.65000000014</v>
      </c>
      <c r="F446" s="5">
        <v>655646.65000000014</v>
      </c>
    </row>
    <row r="447" spans="2:6">
      <c r="B447" t="s">
        <v>647</v>
      </c>
      <c r="C447" t="s">
        <v>646</v>
      </c>
      <c r="D447" t="s">
        <v>1426</v>
      </c>
      <c r="E447" s="5">
        <v>535903</v>
      </c>
      <c r="F447" s="5">
        <v>45286.630000000005</v>
      </c>
    </row>
    <row r="448" spans="2:6">
      <c r="B448" s="7"/>
      <c r="C448" s="7"/>
      <c r="D448" s="7" t="s">
        <v>1473</v>
      </c>
      <c r="E448" s="8">
        <f>SUM(E7:E447)</f>
        <v>201095650.70000011</v>
      </c>
      <c r="F448" s="8">
        <f>SUM(F7:F447)</f>
        <v>173721776.8900001</v>
      </c>
    </row>
  </sheetData>
  <autoFilter ref="B6:F447"/>
  <pageMargins left="0.45" right="0.45" top="0.5" bottom="0.5" header="0.3" footer="0.3"/>
  <pageSetup scale="74" orientation="portrait" r:id="rId1"/>
  <colBreaks count="1" manualBreakCount="1">
    <brk id="6" max="447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4:H447"/>
  <sheetViews>
    <sheetView view="pageBreakPreview" topLeftCell="B1" zoomScaleNormal="100" zoomScaleSheetLayoutView="100" workbookViewId="0">
      <pane ySplit="6" topLeftCell="A7" activePane="bottomLeft" state="frozen"/>
      <selection activeCell="B1" sqref="B1"/>
      <selection pane="bottomLeft" activeCell="F447" sqref="F447"/>
    </sheetView>
  </sheetViews>
  <sheetFormatPr defaultRowHeight="15"/>
  <cols>
    <col min="1" max="1" width="20.42578125" hidden="1" customWidth="1"/>
    <col min="2" max="2" width="10.7109375" customWidth="1"/>
    <col min="3" max="3" width="12.140625" bestFit="1" customWidth="1"/>
    <col min="4" max="4" width="62.5703125" customWidth="1"/>
    <col min="5" max="6" width="17.7109375" customWidth="1"/>
    <col min="7" max="8" width="16.85546875" hidden="1" customWidth="1"/>
  </cols>
  <sheetData>
    <row r="4" spans="1:8" ht="9" customHeight="1"/>
    <row r="5" spans="1:8" ht="9" customHeight="1" thickBot="1"/>
    <row r="6" spans="1:8" ht="30">
      <c r="A6" s="3" t="s">
        <v>1421</v>
      </c>
      <c r="B6" s="3" t="s">
        <v>1429</v>
      </c>
      <c r="C6" s="3" t="s">
        <v>1430</v>
      </c>
      <c r="D6" s="3" t="s">
        <v>1420</v>
      </c>
      <c r="E6" s="3" t="s">
        <v>1468</v>
      </c>
      <c r="F6" s="3" t="s">
        <v>1469</v>
      </c>
      <c r="G6" s="3" t="s">
        <v>1431</v>
      </c>
      <c r="H6" s="3" t="s">
        <v>1432</v>
      </c>
    </row>
    <row r="7" spans="1:8">
      <c r="A7" t="s">
        <v>712</v>
      </c>
      <c r="B7" t="s">
        <v>402</v>
      </c>
      <c r="C7" s="1" t="s">
        <v>401</v>
      </c>
      <c r="D7" t="s">
        <v>1433</v>
      </c>
      <c r="E7" s="2">
        <v>86914.78</v>
      </c>
      <c r="F7" s="2">
        <v>83765.2</v>
      </c>
      <c r="G7" s="2">
        <v>62146.479999999996</v>
      </c>
      <c r="H7" s="2">
        <v>62146.479999999996</v>
      </c>
    </row>
    <row r="8" spans="1:8">
      <c r="A8" t="s">
        <v>713</v>
      </c>
      <c r="B8" t="s">
        <v>354</v>
      </c>
      <c r="C8" s="1" t="s">
        <v>353</v>
      </c>
      <c r="D8" t="s">
        <v>1433</v>
      </c>
      <c r="E8" s="2">
        <v>56862.789999999979</v>
      </c>
      <c r="F8" s="2">
        <v>56113.2</v>
      </c>
      <c r="G8" s="2">
        <v>1798910.8299999998</v>
      </c>
      <c r="H8" s="2">
        <v>418200.85</v>
      </c>
    </row>
    <row r="9" spans="1:8">
      <c r="A9" t="s">
        <v>714</v>
      </c>
      <c r="B9" t="s">
        <v>420</v>
      </c>
      <c r="C9" s="1" t="s">
        <v>419</v>
      </c>
      <c r="D9" t="s">
        <v>1433</v>
      </c>
      <c r="E9" s="2">
        <v>40029.76999999999</v>
      </c>
      <c r="F9" s="2">
        <v>39654.559999999998</v>
      </c>
      <c r="G9" s="2">
        <v>19869.999999999993</v>
      </c>
      <c r="H9" s="2">
        <v>19870</v>
      </c>
    </row>
    <row r="10" spans="1:8">
      <c r="A10" t="s">
        <v>715</v>
      </c>
      <c r="B10" t="s">
        <v>478</v>
      </c>
      <c r="C10" s="1" t="s">
        <v>477</v>
      </c>
      <c r="D10" t="s">
        <v>1266</v>
      </c>
      <c r="E10" s="2">
        <v>294107.64</v>
      </c>
      <c r="F10" s="2">
        <v>229720.64</v>
      </c>
      <c r="G10" s="2">
        <v>255</v>
      </c>
      <c r="H10" s="2">
        <v>255</v>
      </c>
    </row>
    <row r="11" spans="1:8">
      <c r="A11" t="s">
        <v>716</v>
      </c>
      <c r="B11" t="s">
        <v>417</v>
      </c>
      <c r="C11" s="1" t="s">
        <v>416</v>
      </c>
      <c r="D11" t="s">
        <v>1433</v>
      </c>
      <c r="E11" s="2">
        <v>38452.58</v>
      </c>
      <c r="F11" s="2">
        <v>38077.800000000003</v>
      </c>
      <c r="G11" s="2">
        <v>255</v>
      </c>
      <c r="H11" s="2">
        <v>255</v>
      </c>
    </row>
    <row r="12" spans="1:8">
      <c r="A12" t="s">
        <v>717</v>
      </c>
      <c r="B12" t="s">
        <v>377</v>
      </c>
      <c r="C12" s="1" t="s">
        <v>376</v>
      </c>
      <c r="D12" t="s">
        <v>1433</v>
      </c>
      <c r="E12" s="2">
        <v>34947.160000000003</v>
      </c>
      <c r="F12" s="2">
        <v>30133.77</v>
      </c>
      <c r="G12" s="2">
        <v>255</v>
      </c>
      <c r="H12" s="2">
        <v>255</v>
      </c>
    </row>
    <row r="13" spans="1:8">
      <c r="A13" t="s">
        <v>718</v>
      </c>
      <c r="B13" t="s">
        <v>13</v>
      </c>
      <c r="C13" s="1" t="s">
        <v>12</v>
      </c>
      <c r="D13" t="s">
        <v>1276</v>
      </c>
      <c r="E13" s="2">
        <v>1963897.3199999998</v>
      </c>
      <c r="F13" s="2">
        <v>1963897.3200000003</v>
      </c>
      <c r="G13" s="2">
        <v>547319</v>
      </c>
      <c r="H13" s="2">
        <v>508530.83</v>
      </c>
    </row>
    <row r="14" spans="1:8">
      <c r="A14" t="s">
        <v>719</v>
      </c>
      <c r="B14" t="s">
        <v>451</v>
      </c>
      <c r="C14" s="1" t="s">
        <v>450</v>
      </c>
      <c r="D14" t="s">
        <v>1433</v>
      </c>
      <c r="E14" s="2">
        <v>56387.730000000018</v>
      </c>
      <c r="F14" s="2">
        <v>51199.13</v>
      </c>
      <c r="G14" s="2">
        <v>59759</v>
      </c>
      <c r="H14" s="2">
        <v>19842.7</v>
      </c>
    </row>
    <row r="15" spans="1:8">
      <c r="A15" t="s">
        <v>720</v>
      </c>
      <c r="B15" t="s">
        <v>258</v>
      </c>
      <c r="C15" s="1" t="s">
        <v>259</v>
      </c>
      <c r="D15" t="s">
        <v>1398</v>
      </c>
      <c r="E15" s="2">
        <v>17020.460000000003</v>
      </c>
      <c r="F15" s="2">
        <v>17020.460000000003</v>
      </c>
      <c r="G15" s="2">
        <v>459173.65</v>
      </c>
      <c r="H15" s="2">
        <v>22832.240000000002</v>
      </c>
    </row>
    <row r="16" spans="1:8">
      <c r="A16" t="s">
        <v>721</v>
      </c>
      <c r="B16" t="s">
        <v>258</v>
      </c>
      <c r="C16" s="1" t="s">
        <v>259</v>
      </c>
      <c r="D16" t="s">
        <v>1433</v>
      </c>
      <c r="E16" s="2">
        <v>58792.02</v>
      </c>
      <c r="F16" s="2">
        <v>49140.51</v>
      </c>
      <c r="G16" s="2">
        <v>57893.07</v>
      </c>
      <c r="H16" s="2">
        <v>41255.42</v>
      </c>
    </row>
    <row r="17" spans="1:8">
      <c r="A17" t="s">
        <v>722</v>
      </c>
      <c r="B17" t="s">
        <v>258</v>
      </c>
      <c r="C17" s="1" t="s">
        <v>257</v>
      </c>
      <c r="D17" t="s">
        <v>1398</v>
      </c>
      <c r="E17" s="2">
        <v>94630.939999999988</v>
      </c>
      <c r="F17" s="2">
        <v>94536.37</v>
      </c>
      <c r="G17" s="2">
        <v>836746.37</v>
      </c>
      <c r="H17" s="2">
        <v>54869.3</v>
      </c>
    </row>
    <row r="18" spans="1:8">
      <c r="A18" t="s">
        <v>723</v>
      </c>
      <c r="B18" t="s">
        <v>356</v>
      </c>
      <c r="C18" s="1" t="s">
        <v>355</v>
      </c>
      <c r="D18" t="s">
        <v>1433</v>
      </c>
      <c r="E18" s="2">
        <v>51289.119999999995</v>
      </c>
      <c r="F18" s="2">
        <v>46375.54</v>
      </c>
      <c r="G18" s="2">
        <v>81695</v>
      </c>
      <c r="H18" s="2">
        <v>40575.39</v>
      </c>
    </row>
    <row r="19" spans="1:8">
      <c r="A19" t="s">
        <v>724</v>
      </c>
      <c r="B19" t="s">
        <v>375</v>
      </c>
      <c r="C19" s="1" t="s">
        <v>374</v>
      </c>
      <c r="D19" t="s">
        <v>1433</v>
      </c>
      <c r="E19" s="2">
        <v>84956.160000000003</v>
      </c>
      <c r="F19" s="2">
        <v>79349.899999999994</v>
      </c>
      <c r="G19" s="2">
        <v>1045346.1500000001</v>
      </c>
      <c r="H19" s="2">
        <v>1031978.16</v>
      </c>
    </row>
    <row r="20" spans="1:8">
      <c r="A20" t="s">
        <v>725</v>
      </c>
      <c r="B20" t="s">
        <v>17</v>
      </c>
      <c r="C20" s="1" t="s">
        <v>16</v>
      </c>
      <c r="D20" t="s">
        <v>1310</v>
      </c>
      <c r="E20" s="2">
        <v>1165522.83</v>
      </c>
      <c r="F20" s="2">
        <v>1165522.8299999998</v>
      </c>
      <c r="G20" s="2">
        <v>573931.85</v>
      </c>
      <c r="H20" s="2">
        <v>204619.86000000002</v>
      </c>
    </row>
    <row r="21" spans="1:8">
      <c r="A21" t="s">
        <v>726</v>
      </c>
      <c r="B21" t="s">
        <v>7</v>
      </c>
      <c r="C21" s="1" t="s">
        <v>539</v>
      </c>
      <c r="D21" t="s">
        <v>1312</v>
      </c>
      <c r="E21" s="2">
        <v>446504.82</v>
      </c>
      <c r="F21" s="2">
        <v>446504.82</v>
      </c>
      <c r="G21" s="2">
        <v>1213342.5</v>
      </c>
      <c r="H21" s="2">
        <v>1213342.5</v>
      </c>
    </row>
    <row r="22" spans="1:8">
      <c r="A22" t="s">
        <v>727</v>
      </c>
      <c r="B22" t="s">
        <v>7</v>
      </c>
      <c r="C22" s="1" t="s">
        <v>6</v>
      </c>
      <c r="D22" t="s">
        <v>1312</v>
      </c>
      <c r="E22" s="2">
        <v>243563.64</v>
      </c>
      <c r="F22" s="2">
        <v>215940.2</v>
      </c>
      <c r="G22" s="2">
        <v>634977.99999999977</v>
      </c>
      <c r="H22" s="2">
        <v>71898.999999999971</v>
      </c>
    </row>
    <row r="23" spans="1:8">
      <c r="A23" t="s">
        <v>728</v>
      </c>
      <c r="B23" t="s">
        <v>673</v>
      </c>
      <c r="C23" s="1" t="s">
        <v>672</v>
      </c>
      <c r="D23" t="s">
        <v>1332</v>
      </c>
      <c r="E23" s="2">
        <v>94000</v>
      </c>
      <c r="F23" s="2">
        <v>94000</v>
      </c>
      <c r="G23" s="2">
        <v>1624485.0000000002</v>
      </c>
      <c r="H23" s="2">
        <v>35906</v>
      </c>
    </row>
    <row r="24" spans="1:8">
      <c r="A24" t="s">
        <v>729</v>
      </c>
      <c r="B24" t="s">
        <v>341</v>
      </c>
      <c r="C24" s="1" t="s">
        <v>340</v>
      </c>
      <c r="D24" t="s">
        <v>1333</v>
      </c>
      <c r="E24" s="2">
        <v>186240</v>
      </c>
      <c r="F24" s="2">
        <v>139040</v>
      </c>
      <c r="G24" s="2">
        <v>124280.8599999999</v>
      </c>
      <c r="H24" s="2">
        <v>124280.86</v>
      </c>
    </row>
    <row r="25" spans="1:8">
      <c r="A25" t="s">
        <v>730</v>
      </c>
      <c r="B25" t="s">
        <v>464</v>
      </c>
      <c r="C25" s="1" t="s">
        <v>463</v>
      </c>
      <c r="D25" t="s">
        <v>1360</v>
      </c>
      <c r="E25" s="2">
        <v>87130.239999999991</v>
      </c>
      <c r="F25" s="2">
        <v>70526.66</v>
      </c>
      <c r="G25" s="2">
        <v>268512.08</v>
      </c>
      <c r="H25" s="2">
        <v>268512.08</v>
      </c>
    </row>
    <row r="26" spans="1:8">
      <c r="A26" t="s">
        <v>731</v>
      </c>
      <c r="B26" t="s">
        <v>537</v>
      </c>
      <c r="C26" s="1" t="s">
        <v>536</v>
      </c>
      <c r="D26" t="s">
        <v>1360</v>
      </c>
      <c r="E26" s="2">
        <v>47500</v>
      </c>
      <c r="F26" s="2">
        <v>47500</v>
      </c>
      <c r="G26" s="2">
        <v>2993357.45</v>
      </c>
      <c r="H26" s="2">
        <v>2906594.5499999993</v>
      </c>
    </row>
    <row r="27" spans="1:8">
      <c r="A27" t="s">
        <v>732</v>
      </c>
      <c r="B27" t="s">
        <v>269</v>
      </c>
      <c r="C27" s="1" t="s">
        <v>516</v>
      </c>
      <c r="D27" t="s">
        <v>1360</v>
      </c>
      <c r="E27" s="2">
        <v>2467500.0000000009</v>
      </c>
      <c r="F27" s="2">
        <v>2200979.5500000003</v>
      </c>
      <c r="G27" s="2">
        <v>1000</v>
      </c>
      <c r="H27" s="2">
        <v>1000</v>
      </c>
    </row>
    <row r="28" spans="1:8">
      <c r="A28" t="s">
        <v>734</v>
      </c>
      <c r="B28" t="s">
        <v>382</v>
      </c>
      <c r="C28" s="1" t="s">
        <v>381</v>
      </c>
      <c r="D28" t="s">
        <v>1268</v>
      </c>
      <c r="E28" s="2">
        <v>146786.34</v>
      </c>
      <c r="F28" s="2">
        <v>146786.34</v>
      </c>
      <c r="G28" s="2">
        <v>1000</v>
      </c>
      <c r="H28" s="2">
        <v>1000</v>
      </c>
    </row>
    <row r="29" spans="1:8">
      <c r="A29" t="s">
        <v>735</v>
      </c>
      <c r="B29" t="s">
        <v>494</v>
      </c>
      <c r="C29" s="1" t="s">
        <v>493</v>
      </c>
      <c r="D29" t="s">
        <v>1274</v>
      </c>
      <c r="E29" s="2">
        <v>73186.78</v>
      </c>
      <c r="F29" s="2">
        <v>73186.78</v>
      </c>
      <c r="G29" s="2">
        <v>5500</v>
      </c>
      <c r="H29" s="2">
        <v>5500</v>
      </c>
    </row>
    <row r="30" spans="1:8">
      <c r="A30" t="s">
        <v>736</v>
      </c>
      <c r="B30" t="s">
        <v>206</v>
      </c>
      <c r="C30" s="1" t="s">
        <v>205</v>
      </c>
      <c r="D30" t="s">
        <v>1309</v>
      </c>
      <c r="E30" s="2">
        <v>47611.25</v>
      </c>
      <c r="F30" s="2">
        <v>47611.25</v>
      </c>
      <c r="G30" s="2">
        <v>2000</v>
      </c>
      <c r="H30" s="2">
        <v>2000</v>
      </c>
    </row>
    <row r="31" spans="1:8">
      <c r="A31" t="s">
        <v>737</v>
      </c>
      <c r="B31" t="s">
        <v>192</v>
      </c>
      <c r="C31" s="1" t="s">
        <v>191</v>
      </c>
      <c r="D31" t="s">
        <v>1311</v>
      </c>
      <c r="E31" s="2">
        <v>50730.000000000015</v>
      </c>
      <c r="F31" s="2">
        <v>50730</v>
      </c>
      <c r="G31" s="2">
        <v>1500</v>
      </c>
      <c r="H31" s="2">
        <v>0</v>
      </c>
    </row>
    <row r="32" spans="1:8">
      <c r="A32" t="s">
        <v>738</v>
      </c>
      <c r="B32" t="s">
        <v>190</v>
      </c>
      <c r="C32" s="1" t="s">
        <v>189</v>
      </c>
      <c r="D32" t="s">
        <v>1313</v>
      </c>
      <c r="E32" s="2">
        <v>50730.000000000022</v>
      </c>
      <c r="F32" s="2">
        <v>50729.999999999993</v>
      </c>
      <c r="G32" s="2">
        <v>1000</v>
      </c>
      <c r="H32" s="2">
        <v>0</v>
      </c>
    </row>
    <row r="33" spans="1:8">
      <c r="A33" t="s">
        <v>739</v>
      </c>
      <c r="B33" t="s">
        <v>188</v>
      </c>
      <c r="C33" s="1" t="s">
        <v>187</v>
      </c>
      <c r="D33" t="s">
        <v>1314</v>
      </c>
      <c r="E33" s="2">
        <v>47611.25</v>
      </c>
      <c r="F33" s="2">
        <v>47611.25</v>
      </c>
      <c r="G33" s="2">
        <v>1000</v>
      </c>
      <c r="H33" s="2">
        <v>0</v>
      </c>
    </row>
    <row r="34" spans="1:8">
      <c r="A34" t="s">
        <v>740</v>
      </c>
      <c r="B34" t="s">
        <v>117</v>
      </c>
      <c r="C34" s="1" t="s">
        <v>116</v>
      </c>
      <c r="D34" t="s">
        <v>1349</v>
      </c>
      <c r="E34" s="2">
        <v>50217.59</v>
      </c>
      <c r="F34" s="2">
        <v>50217.590000000004</v>
      </c>
      <c r="G34" s="2">
        <v>900</v>
      </c>
      <c r="H34" s="2">
        <v>0</v>
      </c>
    </row>
    <row r="35" spans="1:8">
      <c r="A35" t="s">
        <v>741</v>
      </c>
      <c r="B35" t="s">
        <v>3</v>
      </c>
      <c r="C35" s="1" t="s">
        <v>2</v>
      </c>
      <c r="D35" t="s">
        <v>1350</v>
      </c>
      <c r="E35" s="2">
        <v>35597</v>
      </c>
      <c r="F35" s="2">
        <v>35597</v>
      </c>
      <c r="G35" s="2">
        <v>974043.06</v>
      </c>
      <c r="H35" s="2">
        <v>884104.71</v>
      </c>
    </row>
    <row r="36" spans="1:8">
      <c r="A36" t="s">
        <v>742</v>
      </c>
      <c r="B36" t="s">
        <v>3</v>
      </c>
      <c r="C36" s="1" t="s">
        <v>648</v>
      </c>
      <c r="D36" t="s">
        <v>1350</v>
      </c>
      <c r="E36" s="2">
        <v>28549</v>
      </c>
      <c r="F36" s="2">
        <v>28549</v>
      </c>
      <c r="G36" s="2">
        <v>1500</v>
      </c>
      <c r="H36" s="2">
        <v>925</v>
      </c>
    </row>
    <row r="37" spans="1:8">
      <c r="A37" t="s">
        <v>743</v>
      </c>
      <c r="B37" t="s">
        <v>85</v>
      </c>
      <c r="C37" s="1" t="s">
        <v>84</v>
      </c>
      <c r="D37" t="s">
        <v>1351</v>
      </c>
      <c r="E37" s="2">
        <v>1139993.3900000001</v>
      </c>
      <c r="F37" s="2">
        <v>1070704.3900000001</v>
      </c>
      <c r="G37" s="2">
        <v>34530</v>
      </c>
      <c r="H37" s="2">
        <v>30248.720000000001</v>
      </c>
    </row>
    <row r="38" spans="1:8">
      <c r="A38" t="s">
        <v>744</v>
      </c>
      <c r="B38" t="s">
        <v>85</v>
      </c>
      <c r="C38" s="1" t="s">
        <v>138</v>
      </c>
      <c r="D38" t="s">
        <v>1351</v>
      </c>
      <c r="E38" s="2">
        <v>979859.4</v>
      </c>
      <c r="F38" s="2">
        <v>979859.4</v>
      </c>
      <c r="G38" s="2">
        <v>15146</v>
      </c>
      <c r="H38" s="2">
        <v>15146</v>
      </c>
    </row>
    <row r="39" spans="1:8">
      <c r="A39" t="s">
        <v>745</v>
      </c>
      <c r="B39" t="s">
        <v>85</v>
      </c>
      <c r="C39" s="1" t="s">
        <v>94</v>
      </c>
      <c r="D39" t="s">
        <v>1351</v>
      </c>
      <c r="E39" s="2">
        <v>155111.31</v>
      </c>
      <c r="F39" s="2">
        <v>147522.26</v>
      </c>
      <c r="G39" s="2">
        <v>15146</v>
      </c>
      <c r="H39" s="2">
        <v>15146</v>
      </c>
    </row>
    <row r="40" spans="1:8">
      <c r="A40" t="s">
        <v>746</v>
      </c>
      <c r="B40" t="s">
        <v>85</v>
      </c>
      <c r="C40" s="1" t="s">
        <v>103</v>
      </c>
      <c r="D40" t="s">
        <v>1351</v>
      </c>
      <c r="E40" s="2">
        <v>789472.88</v>
      </c>
      <c r="F40" s="2">
        <v>761923.56</v>
      </c>
      <c r="G40" s="2">
        <v>25261</v>
      </c>
      <c r="H40" s="2">
        <v>25261</v>
      </c>
    </row>
    <row r="41" spans="1:8">
      <c r="A41" t="s">
        <v>747</v>
      </c>
      <c r="B41" t="s">
        <v>462</v>
      </c>
      <c r="C41" s="1" t="s">
        <v>669</v>
      </c>
      <c r="D41" t="s">
        <v>1352</v>
      </c>
      <c r="E41" s="2">
        <v>312487.19999999995</v>
      </c>
      <c r="F41" s="2">
        <v>312487.2</v>
      </c>
      <c r="G41" s="2">
        <v>25150</v>
      </c>
      <c r="H41" s="2">
        <v>25150</v>
      </c>
    </row>
    <row r="42" spans="1:8">
      <c r="A42" t="s">
        <v>748</v>
      </c>
      <c r="B42" t="s">
        <v>462</v>
      </c>
      <c r="C42" s="1" t="s">
        <v>461</v>
      </c>
      <c r="D42" t="s">
        <v>1353</v>
      </c>
      <c r="E42" s="2">
        <v>2634489.6199999996</v>
      </c>
      <c r="F42" s="2">
        <v>2585005.54</v>
      </c>
      <c r="G42" s="2">
        <v>48370</v>
      </c>
      <c r="H42" s="2">
        <v>48370</v>
      </c>
    </row>
    <row r="43" spans="1:8">
      <c r="A43" t="s">
        <v>749</v>
      </c>
      <c r="B43" t="s">
        <v>462</v>
      </c>
      <c r="C43" s="1" t="s">
        <v>497</v>
      </c>
      <c r="D43" t="s">
        <v>1352</v>
      </c>
      <c r="E43" s="2">
        <v>36993.149999999994</v>
      </c>
      <c r="F43" s="2">
        <v>36993.15</v>
      </c>
      <c r="G43" s="2">
        <v>72807.649999999994</v>
      </c>
      <c r="H43" s="2">
        <v>72807.649999999994</v>
      </c>
    </row>
    <row r="44" spans="1:8">
      <c r="A44" t="s">
        <v>750</v>
      </c>
      <c r="B44" t="s">
        <v>113</v>
      </c>
      <c r="C44" s="1" t="s">
        <v>112</v>
      </c>
      <c r="D44" t="s">
        <v>1354</v>
      </c>
      <c r="E44" s="2">
        <v>155949.57</v>
      </c>
      <c r="F44" s="2">
        <v>155949.57</v>
      </c>
      <c r="G44" s="2">
        <v>2860</v>
      </c>
      <c r="H44" s="2">
        <v>2860</v>
      </c>
    </row>
    <row r="45" spans="1:8">
      <c r="A45" t="s">
        <v>751</v>
      </c>
      <c r="B45" t="s">
        <v>509</v>
      </c>
      <c r="C45" s="1" t="s">
        <v>508</v>
      </c>
      <c r="D45" t="s">
        <v>1355</v>
      </c>
      <c r="E45" s="2">
        <v>51981</v>
      </c>
      <c r="F45" s="2">
        <v>51981</v>
      </c>
      <c r="G45" s="2">
        <v>18100</v>
      </c>
      <c r="H45" s="2">
        <v>15369</v>
      </c>
    </row>
    <row r="46" spans="1:8">
      <c r="A46" t="s">
        <v>752</v>
      </c>
      <c r="B46" t="s">
        <v>267</v>
      </c>
      <c r="C46" s="1" t="s">
        <v>266</v>
      </c>
      <c r="D46" t="s">
        <v>1356</v>
      </c>
      <c r="E46" s="2">
        <v>1483092.13</v>
      </c>
      <c r="F46" s="2">
        <v>1483092.1300000004</v>
      </c>
      <c r="G46" s="2">
        <v>27375</v>
      </c>
      <c r="H46" s="2">
        <v>27375</v>
      </c>
    </row>
    <row r="47" spans="1:8">
      <c r="A47" t="s">
        <v>753</v>
      </c>
      <c r="B47" t="s">
        <v>267</v>
      </c>
      <c r="C47" s="1" t="s">
        <v>270</v>
      </c>
      <c r="D47" t="s">
        <v>1356</v>
      </c>
      <c r="E47" s="2">
        <v>378209</v>
      </c>
      <c r="F47" s="2">
        <v>378209</v>
      </c>
      <c r="G47" s="2">
        <v>1000</v>
      </c>
      <c r="H47" s="2">
        <v>0</v>
      </c>
    </row>
    <row r="48" spans="1:8">
      <c r="A48" t="s">
        <v>754</v>
      </c>
      <c r="B48" t="s">
        <v>29</v>
      </c>
      <c r="C48" s="1" t="s">
        <v>70</v>
      </c>
      <c r="D48" t="s">
        <v>1357</v>
      </c>
      <c r="E48" s="2">
        <v>11004.1</v>
      </c>
      <c r="F48" s="2">
        <v>11004.099999999999</v>
      </c>
      <c r="G48" s="2">
        <v>1870214.0099999998</v>
      </c>
      <c r="H48" s="2">
        <v>1729037.79</v>
      </c>
    </row>
    <row r="49" spans="1:8">
      <c r="A49" t="s">
        <v>755</v>
      </c>
      <c r="B49" t="s">
        <v>29</v>
      </c>
      <c r="C49" s="1" t="s">
        <v>28</v>
      </c>
      <c r="D49" t="s">
        <v>1357</v>
      </c>
      <c r="E49" s="2">
        <v>276539.25</v>
      </c>
      <c r="F49" s="2">
        <v>276539.25000000006</v>
      </c>
      <c r="G49" s="2">
        <v>4535</v>
      </c>
      <c r="H49" s="2">
        <v>4535</v>
      </c>
    </row>
    <row r="50" spans="1:8">
      <c r="A50" t="s">
        <v>756</v>
      </c>
      <c r="B50" t="s">
        <v>265</v>
      </c>
      <c r="C50" s="1" t="s">
        <v>264</v>
      </c>
      <c r="D50" t="s">
        <v>1356</v>
      </c>
      <c r="E50" s="2">
        <v>67618</v>
      </c>
      <c r="F50" s="2">
        <v>67618</v>
      </c>
      <c r="G50" s="2">
        <v>12970</v>
      </c>
      <c r="H50" s="2">
        <v>3240</v>
      </c>
    </row>
    <row r="51" spans="1:8">
      <c r="A51" t="s">
        <v>757</v>
      </c>
      <c r="B51" t="s">
        <v>265</v>
      </c>
      <c r="C51" s="1" t="s">
        <v>268</v>
      </c>
      <c r="D51" t="s">
        <v>1356</v>
      </c>
      <c r="E51" s="2">
        <v>7744</v>
      </c>
      <c r="F51" s="2">
        <v>7744</v>
      </c>
      <c r="G51" s="2">
        <v>1420896.0100000002</v>
      </c>
      <c r="H51" s="2">
        <v>536734.28</v>
      </c>
    </row>
    <row r="52" spans="1:8">
      <c r="A52" t="s">
        <v>758</v>
      </c>
      <c r="B52" t="s">
        <v>427</v>
      </c>
      <c r="C52" s="1" t="s">
        <v>668</v>
      </c>
      <c r="D52" t="s">
        <v>1352</v>
      </c>
      <c r="E52" s="2">
        <v>212199.28000000003</v>
      </c>
      <c r="F52" s="2">
        <v>212199.27999999997</v>
      </c>
      <c r="G52" s="2">
        <v>81245.490000000005</v>
      </c>
      <c r="H52" s="2">
        <v>81245.490000000005</v>
      </c>
    </row>
    <row r="53" spans="1:8">
      <c r="A53" t="s">
        <v>759</v>
      </c>
      <c r="B53" t="s">
        <v>427</v>
      </c>
      <c r="C53" s="1" t="s">
        <v>426</v>
      </c>
      <c r="D53" t="s">
        <v>1352</v>
      </c>
      <c r="E53" s="2">
        <v>36993.149999999994</v>
      </c>
      <c r="F53" s="2">
        <v>36993.15</v>
      </c>
      <c r="G53" s="2">
        <v>203859</v>
      </c>
      <c r="H53" s="2">
        <v>203859</v>
      </c>
    </row>
    <row r="54" spans="1:8">
      <c r="A54" t="s">
        <v>760</v>
      </c>
      <c r="B54" t="s">
        <v>115</v>
      </c>
      <c r="C54" s="1" t="s">
        <v>114</v>
      </c>
      <c r="D54" t="s">
        <v>1359</v>
      </c>
      <c r="E54" s="2">
        <v>50715.909999999989</v>
      </c>
      <c r="F54" s="2">
        <v>50715.91</v>
      </c>
      <c r="G54" s="2">
        <v>1361203.6900000006</v>
      </c>
      <c r="H54" s="2">
        <v>1361203.69</v>
      </c>
    </row>
    <row r="55" spans="1:8">
      <c r="A55" t="s">
        <v>761</v>
      </c>
      <c r="B55" t="s">
        <v>150</v>
      </c>
      <c r="C55" s="1" t="s">
        <v>149</v>
      </c>
      <c r="D55" t="s">
        <v>1391</v>
      </c>
      <c r="E55" s="2">
        <v>677954.74999999988</v>
      </c>
      <c r="F55" s="2">
        <v>677954.75</v>
      </c>
      <c r="G55" s="2">
        <v>562601.29999999993</v>
      </c>
      <c r="H55" s="2">
        <v>562601.30000000005</v>
      </c>
    </row>
    <row r="56" spans="1:8">
      <c r="A56" t="s">
        <v>762</v>
      </c>
      <c r="B56" t="s">
        <v>74</v>
      </c>
      <c r="C56" s="1" t="s">
        <v>73</v>
      </c>
      <c r="D56" t="s">
        <v>1392</v>
      </c>
      <c r="E56" s="2">
        <v>1559001.33</v>
      </c>
      <c r="F56" s="2">
        <v>1559001.33</v>
      </c>
      <c r="G56" s="2">
        <v>729819.60000000009</v>
      </c>
      <c r="H56" s="2">
        <v>729819.6</v>
      </c>
    </row>
    <row r="57" spans="1:8">
      <c r="A57" t="s">
        <v>763</v>
      </c>
      <c r="B57" t="s">
        <v>655</v>
      </c>
      <c r="C57" s="1" t="s">
        <v>654</v>
      </c>
      <c r="D57" t="s">
        <v>1393</v>
      </c>
      <c r="E57" s="2">
        <v>406539.60999999993</v>
      </c>
      <c r="F57" s="2">
        <v>406539.61000000004</v>
      </c>
      <c r="G57" s="2">
        <v>1583243.3800000001</v>
      </c>
      <c r="H57" s="2">
        <v>1583243.38</v>
      </c>
    </row>
    <row r="58" spans="1:8">
      <c r="A58" t="s">
        <v>764</v>
      </c>
      <c r="B58" t="s">
        <v>409</v>
      </c>
      <c r="C58" s="1" t="s">
        <v>408</v>
      </c>
      <c r="D58" t="s">
        <v>1394</v>
      </c>
      <c r="E58" s="2">
        <v>2481472.12</v>
      </c>
      <c r="F58" s="2">
        <v>441913.71000000008</v>
      </c>
      <c r="G58" s="2">
        <v>1854415.73</v>
      </c>
      <c r="H58" s="2">
        <v>1854415.73</v>
      </c>
    </row>
    <row r="59" spans="1:8">
      <c r="A59" t="s">
        <v>765</v>
      </c>
      <c r="B59" t="s">
        <v>409</v>
      </c>
      <c r="C59" s="1" t="s">
        <v>490</v>
      </c>
      <c r="D59" t="s">
        <v>1394</v>
      </c>
      <c r="E59" s="2">
        <v>1169159.3999999999</v>
      </c>
      <c r="F59" s="2">
        <v>908999.42</v>
      </c>
      <c r="G59" s="2">
        <v>506399.42000000016</v>
      </c>
      <c r="H59" s="2">
        <v>506399.42</v>
      </c>
    </row>
    <row r="60" spans="1:8">
      <c r="A60" t="s">
        <v>766</v>
      </c>
      <c r="B60" t="s">
        <v>89</v>
      </c>
      <c r="C60" s="1" t="s">
        <v>88</v>
      </c>
      <c r="D60" t="s">
        <v>1397</v>
      </c>
      <c r="E60" s="2">
        <v>706550.74</v>
      </c>
      <c r="F60" s="2">
        <v>706550.74</v>
      </c>
      <c r="G60" s="2">
        <v>400035.49999999994</v>
      </c>
      <c r="H60" s="2">
        <v>400035.5</v>
      </c>
    </row>
    <row r="61" spans="1:8">
      <c r="A61" t="s">
        <v>767</v>
      </c>
      <c r="B61" t="s">
        <v>15</v>
      </c>
      <c r="C61" s="1" t="s">
        <v>218</v>
      </c>
      <c r="D61" t="s">
        <v>1416</v>
      </c>
      <c r="E61" s="2">
        <v>549226.47</v>
      </c>
      <c r="F61" s="2">
        <v>549226.46999999986</v>
      </c>
      <c r="G61" s="2">
        <v>1247644.27</v>
      </c>
      <c r="H61" s="2">
        <v>1247644.27</v>
      </c>
    </row>
    <row r="62" spans="1:8">
      <c r="A62" t="s">
        <v>768</v>
      </c>
      <c r="B62" t="s">
        <v>15</v>
      </c>
      <c r="C62" s="1" t="s">
        <v>14</v>
      </c>
      <c r="D62" t="s">
        <v>1417</v>
      </c>
      <c r="E62" s="2">
        <v>569926</v>
      </c>
      <c r="F62" s="2">
        <v>569926</v>
      </c>
      <c r="G62" s="2">
        <v>286062</v>
      </c>
      <c r="H62" s="2">
        <v>286062</v>
      </c>
    </row>
    <row r="63" spans="1:8">
      <c r="A63" t="s">
        <v>769</v>
      </c>
      <c r="B63" t="s">
        <v>249</v>
      </c>
      <c r="C63" s="1" t="s">
        <v>248</v>
      </c>
      <c r="D63" t="s">
        <v>1418</v>
      </c>
      <c r="E63" s="2">
        <v>411961.4600000002</v>
      </c>
      <c r="F63" s="2">
        <v>411961.4599999999</v>
      </c>
      <c r="G63" s="2">
        <v>2226853.5299999993</v>
      </c>
      <c r="H63" s="2">
        <v>2226853.5300000003</v>
      </c>
    </row>
    <row r="64" spans="1:8">
      <c r="A64" t="s">
        <v>770</v>
      </c>
      <c r="B64" t="s">
        <v>60</v>
      </c>
      <c r="C64" s="1" t="s">
        <v>59</v>
      </c>
      <c r="D64" t="s">
        <v>1419</v>
      </c>
      <c r="E64" s="2">
        <v>655646.65000000014</v>
      </c>
      <c r="F64" s="2">
        <v>655646.65000000014</v>
      </c>
      <c r="G64" s="2">
        <v>248029</v>
      </c>
      <c r="H64" s="2">
        <v>248029</v>
      </c>
    </row>
    <row r="65" spans="1:8">
      <c r="A65" t="s">
        <v>771</v>
      </c>
      <c r="B65" t="s">
        <v>647</v>
      </c>
      <c r="C65" s="1" t="s">
        <v>646</v>
      </c>
      <c r="D65" t="s">
        <v>1426</v>
      </c>
      <c r="E65" s="2">
        <v>535903</v>
      </c>
      <c r="F65" s="2">
        <v>38633.730000000003</v>
      </c>
      <c r="G65" s="2">
        <v>92968.56</v>
      </c>
      <c r="H65" s="2">
        <v>92968.56</v>
      </c>
    </row>
    <row r="66" spans="1:8">
      <c r="A66" t="s">
        <v>773</v>
      </c>
      <c r="B66" t="s">
        <v>469</v>
      </c>
      <c r="C66" s="1" t="s">
        <v>468</v>
      </c>
      <c r="D66" t="s">
        <v>1147</v>
      </c>
      <c r="E66" s="2">
        <v>547319</v>
      </c>
      <c r="F66" s="2">
        <v>543669.83000000007</v>
      </c>
      <c r="G66" s="2">
        <v>322613.74000000011</v>
      </c>
      <c r="H66" s="2">
        <v>322613.74</v>
      </c>
    </row>
    <row r="67" spans="1:8">
      <c r="A67" t="s">
        <v>774</v>
      </c>
      <c r="B67" t="s">
        <v>469</v>
      </c>
      <c r="C67" s="1" t="s">
        <v>638</v>
      </c>
      <c r="D67" t="s">
        <v>1147</v>
      </c>
      <c r="E67" s="2">
        <v>63616.85</v>
      </c>
      <c r="F67" s="2">
        <v>34961.300000000003</v>
      </c>
      <c r="G67" s="2">
        <v>86914.78</v>
      </c>
      <c r="H67" s="2">
        <v>69345.440000000002</v>
      </c>
    </row>
    <row r="68" spans="1:8">
      <c r="A68" t="s">
        <v>775</v>
      </c>
      <c r="B68" t="s">
        <v>292</v>
      </c>
      <c r="C68" s="1" t="s">
        <v>555</v>
      </c>
      <c r="D68" t="s">
        <v>1148</v>
      </c>
      <c r="E68" s="2">
        <v>459174.23000000004</v>
      </c>
      <c r="F68" s="2">
        <v>53279.220000000008</v>
      </c>
      <c r="G68" s="2">
        <v>19531</v>
      </c>
      <c r="H68" s="2">
        <v>450</v>
      </c>
    </row>
    <row r="69" spans="1:8">
      <c r="A69" t="s">
        <v>776</v>
      </c>
      <c r="B69" t="s">
        <v>292</v>
      </c>
      <c r="C69" s="1" t="s">
        <v>291</v>
      </c>
      <c r="D69" t="s">
        <v>1148</v>
      </c>
      <c r="E69" s="2">
        <v>57893.070000000007</v>
      </c>
      <c r="F69" s="2">
        <v>51912.17</v>
      </c>
      <c r="G69" s="2">
        <v>74212</v>
      </c>
      <c r="H69" s="2">
        <v>0</v>
      </c>
    </row>
    <row r="70" spans="1:8">
      <c r="A70" t="s">
        <v>777</v>
      </c>
      <c r="B70" t="s">
        <v>298</v>
      </c>
      <c r="C70" s="1" t="s">
        <v>621</v>
      </c>
      <c r="D70" t="s">
        <v>1149</v>
      </c>
      <c r="E70" s="2">
        <v>836746.37000000011</v>
      </c>
      <c r="F70" s="2">
        <v>689425.21999999974</v>
      </c>
      <c r="G70" s="2">
        <v>102925</v>
      </c>
      <c r="H70" s="2">
        <v>0</v>
      </c>
    </row>
    <row r="71" spans="1:8">
      <c r="A71" t="s">
        <v>778</v>
      </c>
      <c r="B71" t="s">
        <v>298</v>
      </c>
      <c r="C71" s="1" t="s">
        <v>297</v>
      </c>
      <c r="D71" t="s">
        <v>1149</v>
      </c>
      <c r="E71" s="2">
        <v>85567.4</v>
      </c>
      <c r="F71" s="2">
        <v>57196.210000000006</v>
      </c>
      <c r="G71" s="2">
        <v>9486448.0000000019</v>
      </c>
      <c r="H71" s="2">
        <v>9416218.3399999943</v>
      </c>
    </row>
    <row r="72" spans="1:8">
      <c r="A72" t="s">
        <v>779</v>
      </c>
      <c r="B72" t="s">
        <v>276</v>
      </c>
      <c r="C72" s="1" t="s">
        <v>369</v>
      </c>
      <c r="D72" t="s">
        <v>1215</v>
      </c>
      <c r="E72" s="2">
        <v>331944.99</v>
      </c>
      <c r="F72" s="2">
        <v>331944.73999999993</v>
      </c>
      <c r="G72" s="2">
        <v>2387896.069999997</v>
      </c>
      <c r="H72" s="2">
        <v>2300590.34</v>
      </c>
    </row>
    <row r="73" spans="1:8">
      <c r="A73" t="s">
        <v>780</v>
      </c>
      <c r="B73" t="s">
        <v>276</v>
      </c>
      <c r="C73" s="1" t="s">
        <v>275</v>
      </c>
      <c r="D73" t="s">
        <v>1215</v>
      </c>
      <c r="E73" s="2">
        <v>65265</v>
      </c>
      <c r="F73" s="2">
        <v>28363.55</v>
      </c>
      <c r="G73" s="2">
        <v>39614</v>
      </c>
      <c r="H73" s="2">
        <v>6735.5</v>
      </c>
    </row>
    <row r="74" spans="1:8">
      <c r="A74" t="s">
        <v>781</v>
      </c>
      <c r="B74" t="s">
        <v>391</v>
      </c>
      <c r="C74" s="1" t="s">
        <v>449</v>
      </c>
      <c r="D74" t="s">
        <v>1216</v>
      </c>
      <c r="E74" s="2">
        <v>115259.00000000001</v>
      </c>
      <c r="F74" s="2">
        <v>22852.85</v>
      </c>
      <c r="G74" s="2">
        <v>199760.56</v>
      </c>
      <c r="H74" s="2">
        <v>8289.9</v>
      </c>
    </row>
    <row r="75" spans="1:8">
      <c r="A75" t="s">
        <v>782</v>
      </c>
      <c r="B75" t="s">
        <v>391</v>
      </c>
      <c r="C75" s="1" t="s">
        <v>390</v>
      </c>
      <c r="D75" t="s">
        <v>1216</v>
      </c>
      <c r="E75" s="2">
        <v>806934.64</v>
      </c>
      <c r="F75" s="2">
        <v>806934.6399999999</v>
      </c>
      <c r="G75" s="2">
        <v>26383</v>
      </c>
      <c r="H75" s="2">
        <v>7877.2</v>
      </c>
    </row>
    <row r="76" spans="1:8">
      <c r="A76" t="s">
        <v>783</v>
      </c>
      <c r="B76" t="s">
        <v>58</v>
      </c>
      <c r="C76" s="1" t="s">
        <v>57</v>
      </c>
      <c r="D76" t="s">
        <v>1434</v>
      </c>
      <c r="E76" s="2">
        <v>782427.34</v>
      </c>
      <c r="F76" s="2">
        <v>782427.34</v>
      </c>
      <c r="G76" s="2">
        <v>859835</v>
      </c>
      <c r="H76" s="2">
        <v>859835</v>
      </c>
    </row>
    <row r="77" spans="1:8">
      <c r="A77" t="s">
        <v>784</v>
      </c>
      <c r="B77" t="s">
        <v>58</v>
      </c>
      <c r="C77" s="1" t="s">
        <v>552</v>
      </c>
      <c r="D77" t="s">
        <v>1434</v>
      </c>
      <c r="E77" s="2">
        <v>23274</v>
      </c>
      <c r="F77" s="2">
        <v>9501.75</v>
      </c>
      <c r="G77" s="2">
        <v>109605</v>
      </c>
      <c r="H77" s="2">
        <v>22524</v>
      </c>
    </row>
    <row r="78" spans="1:8">
      <c r="A78" t="s">
        <v>785</v>
      </c>
      <c r="B78" t="s">
        <v>286</v>
      </c>
      <c r="C78" s="1" t="s">
        <v>285</v>
      </c>
      <c r="D78" t="s">
        <v>1219</v>
      </c>
      <c r="E78" s="2">
        <v>90627.3</v>
      </c>
      <c r="F78" s="2">
        <v>46549.95</v>
      </c>
      <c r="G78" s="2">
        <v>27739</v>
      </c>
      <c r="H78" s="2">
        <v>25049</v>
      </c>
    </row>
    <row r="79" spans="1:8">
      <c r="A79" t="s">
        <v>786</v>
      </c>
      <c r="B79" t="s">
        <v>296</v>
      </c>
      <c r="C79" s="1" t="s">
        <v>295</v>
      </c>
      <c r="D79" t="s">
        <v>1220</v>
      </c>
      <c r="E79" s="2">
        <v>55141</v>
      </c>
      <c r="F79" s="2">
        <v>20944.25</v>
      </c>
      <c r="G79" s="2">
        <v>26888</v>
      </c>
      <c r="H79" s="2">
        <v>24198</v>
      </c>
    </row>
    <row r="80" spans="1:8">
      <c r="A80" t="s">
        <v>787</v>
      </c>
      <c r="B80" t="s">
        <v>220</v>
      </c>
      <c r="C80" s="1" t="s">
        <v>219</v>
      </c>
      <c r="D80" t="s">
        <v>1221</v>
      </c>
      <c r="E80" s="2">
        <v>626369.39</v>
      </c>
      <c r="F80" s="2">
        <v>618303.97</v>
      </c>
      <c r="G80" s="2">
        <v>26888</v>
      </c>
      <c r="H80" s="2">
        <v>24198</v>
      </c>
    </row>
    <row r="81" spans="1:8">
      <c r="A81" t="s">
        <v>788</v>
      </c>
      <c r="B81" t="s">
        <v>220</v>
      </c>
      <c r="C81" s="1" t="s">
        <v>310</v>
      </c>
      <c r="D81" t="s">
        <v>1221</v>
      </c>
      <c r="E81" s="2">
        <v>83187</v>
      </c>
      <c r="F81" s="2">
        <v>32468.35</v>
      </c>
      <c r="G81" s="2">
        <v>44040</v>
      </c>
      <c r="H81" s="2">
        <v>4400</v>
      </c>
    </row>
    <row r="82" spans="1:8">
      <c r="A82" t="s">
        <v>789</v>
      </c>
      <c r="B82" t="s">
        <v>109</v>
      </c>
      <c r="C82" s="1" t="s">
        <v>108</v>
      </c>
      <c r="D82" t="s">
        <v>1222</v>
      </c>
      <c r="E82" s="2">
        <v>1332219.51</v>
      </c>
      <c r="F82" s="2">
        <v>1331118.17</v>
      </c>
      <c r="G82" s="2">
        <v>1248108.5000000002</v>
      </c>
      <c r="H82" s="2">
        <v>1209588.54</v>
      </c>
    </row>
    <row r="83" spans="1:8">
      <c r="A83" t="s">
        <v>790</v>
      </c>
      <c r="B83" t="s">
        <v>109</v>
      </c>
      <c r="C83" s="1" t="s">
        <v>290</v>
      </c>
      <c r="D83" t="s">
        <v>1222</v>
      </c>
      <c r="E83" s="2">
        <v>86744</v>
      </c>
      <c r="F83" s="2">
        <v>30771.35</v>
      </c>
      <c r="G83" s="2">
        <v>47400</v>
      </c>
      <c r="H83" s="2">
        <v>4500</v>
      </c>
    </row>
    <row r="84" spans="1:8">
      <c r="A84" t="s">
        <v>791</v>
      </c>
      <c r="B84" t="s">
        <v>300</v>
      </c>
      <c r="C84" s="1" t="s">
        <v>299</v>
      </c>
      <c r="D84" t="s">
        <v>1223</v>
      </c>
      <c r="E84" s="2">
        <v>66910.3</v>
      </c>
      <c r="F84" s="2">
        <v>33428.85</v>
      </c>
      <c r="G84" s="2">
        <v>30574</v>
      </c>
      <c r="H84" s="2">
        <v>4200</v>
      </c>
    </row>
    <row r="85" spans="1:8">
      <c r="A85" t="s">
        <v>792</v>
      </c>
      <c r="B85" t="s">
        <v>709</v>
      </c>
      <c r="C85" s="1" t="s">
        <v>708</v>
      </c>
      <c r="D85" t="s">
        <v>1224</v>
      </c>
      <c r="E85" s="2">
        <v>12438.88</v>
      </c>
      <c r="F85" s="2">
        <v>12438.88</v>
      </c>
      <c r="G85" s="2">
        <v>28022</v>
      </c>
      <c r="H85" s="2">
        <v>4200</v>
      </c>
    </row>
    <row r="86" spans="1:8">
      <c r="A86" t="s">
        <v>793</v>
      </c>
      <c r="B86" t="s">
        <v>278</v>
      </c>
      <c r="C86" s="1" t="s">
        <v>277</v>
      </c>
      <c r="D86" t="s">
        <v>1225</v>
      </c>
      <c r="E86" s="2">
        <v>75460</v>
      </c>
      <c r="F86" s="2">
        <v>32282.05</v>
      </c>
      <c r="G86" s="2">
        <v>17500</v>
      </c>
      <c r="H86" s="2">
        <v>0</v>
      </c>
    </row>
    <row r="87" spans="1:8">
      <c r="A87" t="s">
        <v>794</v>
      </c>
      <c r="B87" t="s">
        <v>282</v>
      </c>
      <c r="C87" s="1" t="s">
        <v>535</v>
      </c>
      <c r="D87" t="s">
        <v>1226</v>
      </c>
      <c r="E87" s="2">
        <v>2728798.54</v>
      </c>
      <c r="F87" s="2">
        <v>202086.21</v>
      </c>
      <c r="G87" s="2">
        <v>44030</v>
      </c>
      <c r="H87" s="2">
        <v>0</v>
      </c>
    </row>
    <row r="88" spans="1:8">
      <c r="A88" t="s">
        <v>795</v>
      </c>
      <c r="B88" t="s">
        <v>282</v>
      </c>
      <c r="C88" s="1" t="s">
        <v>281</v>
      </c>
      <c r="D88" t="s">
        <v>1226</v>
      </c>
      <c r="E88" s="2">
        <v>74257.539999999994</v>
      </c>
      <c r="F88" s="2">
        <v>19244.45</v>
      </c>
      <c r="G88" s="2">
        <v>331944.99</v>
      </c>
      <c r="H88" s="2">
        <v>331944.73999999993</v>
      </c>
    </row>
    <row r="89" spans="1:8">
      <c r="A89" t="s">
        <v>796</v>
      </c>
      <c r="B89" t="s">
        <v>499</v>
      </c>
      <c r="C89" s="1" t="s">
        <v>575</v>
      </c>
      <c r="D89" t="s">
        <v>1227</v>
      </c>
      <c r="E89" s="2">
        <v>23274</v>
      </c>
      <c r="F89" s="2">
        <v>9501.75</v>
      </c>
      <c r="G89" s="2">
        <v>65265</v>
      </c>
      <c r="H89" s="2">
        <v>13813.95</v>
      </c>
    </row>
    <row r="90" spans="1:8">
      <c r="A90" t="s">
        <v>797</v>
      </c>
      <c r="B90" t="s">
        <v>499</v>
      </c>
      <c r="C90" s="1" t="s">
        <v>498</v>
      </c>
      <c r="D90" t="s">
        <v>1227</v>
      </c>
      <c r="E90" s="2">
        <v>333188</v>
      </c>
      <c r="F90" s="2">
        <v>316528.59999999998</v>
      </c>
      <c r="G90" s="2">
        <v>115259</v>
      </c>
      <c r="H90" s="2">
        <v>4096.6499999999996</v>
      </c>
    </row>
    <row r="91" spans="1:8">
      <c r="A91" t="s">
        <v>798</v>
      </c>
      <c r="B91" t="s">
        <v>307</v>
      </c>
      <c r="C91" s="1" t="s">
        <v>484</v>
      </c>
      <c r="D91" t="s">
        <v>1228</v>
      </c>
      <c r="E91" s="2">
        <v>608912</v>
      </c>
      <c r="F91" s="2">
        <v>608912</v>
      </c>
      <c r="G91" s="2">
        <v>807015.5</v>
      </c>
      <c r="H91" s="2">
        <v>786101.52</v>
      </c>
    </row>
    <row r="92" spans="1:8">
      <c r="A92" t="s">
        <v>799</v>
      </c>
      <c r="B92" t="s">
        <v>307</v>
      </c>
      <c r="C92" s="1" t="s">
        <v>306</v>
      </c>
      <c r="D92" t="s">
        <v>1228</v>
      </c>
      <c r="E92" s="2">
        <v>200591.42999999996</v>
      </c>
      <c r="F92" s="2">
        <v>200591.43</v>
      </c>
      <c r="G92" s="2">
        <v>782427.33999999985</v>
      </c>
      <c r="H92" s="2">
        <v>779777.34000000008</v>
      </c>
    </row>
    <row r="93" spans="1:8">
      <c r="A93" t="s">
        <v>800</v>
      </c>
      <c r="B93" t="s">
        <v>307</v>
      </c>
      <c r="C93" s="1" t="s">
        <v>482</v>
      </c>
      <c r="D93" t="s">
        <v>1228</v>
      </c>
      <c r="E93" s="2">
        <v>81126.94</v>
      </c>
      <c r="F93" s="2">
        <v>41850.6</v>
      </c>
      <c r="G93" s="2">
        <v>23274</v>
      </c>
      <c r="H93" s="2">
        <v>1055.75</v>
      </c>
    </row>
    <row r="94" spans="1:8">
      <c r="A94" t="s">
        <v>801</v>
      </c>
      <c r="B94" t="s">
        <v>305</v>
      </c>
      <c r="C94" s="1" t="s">
        <v>380</v>
      </c>
      <c r="D94" t="s">
        <v>1435</v>
      </c>
      <c r="E94" s="2">
        <v>55693.8</v>
      </c>
      <c r="F94" s="2">
        <v>39241.729999999996</v>
      </c>
      <c r="G94" s="2">
        <v>73558.3</v>
      </c>
      <c r="H94" s="2">
        <v>30866.25</v>
      </c>
    </row>
    <row r="95" spans="1:8">
      <c r="A95" t="s">
        <v>802</v>
      </c>
      <c r="B95" t="s">
        <v>305</v>
      </c>
      <c r="C95" s="1" t="s">
        <v>304</v>
      </c>
      <c r="D95" t="s">
        <v>1435</v>
      </c>
      <c r="E95" s="2">
        <v>859911.0399999998</v>
      </c>
      <c r="F95" s="2">
        <v>807878.32000000018</v>
      </c>
      <c r="G95" s="2">
        <v>55141</v>
      </c>
      <c r="H95" s="2">
        <v>12256.25</v>
      </c>
    </row>
    <row r="96" spans="1:8">
      <c r="A96" t="s">
        <v>803</v>
      </c>
      <c r="B96" t="s">
        <v>554</v>
      </c>
      <c r="C96" s="1" t="s">
        <v>553</v>
      </c>
      <c r="D96" t="s">
        <v>1231</v>
      </c>
      <c r="E96" s="2">
        <v>72289.14</v>
      </c>
      <c r="F96" s="2">
        <v>23366.9</v>
      </c>
      <c r="G96" s="2">
        <v>626369.39</v>
      </c>
      <c r="H96" s="2">
        <v>618303.97</v>
      </c>
    </row>
    <row r="97" spans="1:8">
      <c r="A97" t="s">
        <v>805</v>
      </c>
      <c r="B97" t="s">
        <v>127</v>
      </c>
      <c r="C97" s="1" t="s">
        <v>126</v>
      </c>
      <c r="D97" t="s">
        <v>1232</v>
      </c>
      <c r="E97" s="2">
        <v>782205</v>
      </c>
      <c r="F97" s="2">
        <v>762451.76</v>
      </c>
      <c r="G97" s="2">
        <v>1332219.5099999998</v>
      </c>
      <c r="H97" s="2">
        <v>1331118.17</v>
      </c>
    </row>
    <row r="98" spans="1:8">
      <c r="A98" t="s">
        <v>806</v>
      </c>
      <c r="B98" t="s">
        <v>127</v>
      </c>
      <c r="C98" s="1" t="s">
        <v>491</v>
      </c>
      <c r="D98" t="s">
        <v>1232</v>
      </c>
      <c r="E98" s="2">
        <v>77937.790000000008</v>
      </c>
      <c r="F98" s="2">
        <v>55895.54</v>
      </c>
      <c r="G98" s="2">
        <v>86744</v>
      </c>
      <c r="H98" s="2">
        <v>23894.95</v>
      </c>
    </row>
    <row r="99" spans="1:8">
      <c r="A99" t="s">
        <v>807</v>
      </c>
      <c r="B99" t="s">
        <v>127</v>
      </c>
      <c r="C99" s="1" t="s">
        <v>421</v>
      </c>
      <c r="D99" t="s">
        <v>1232</v>
      </c>
      <c r="E99" s="2">
        <v>473707.75</v>
      </c>
      <c r="F99" s="2">
        <v>108578</v>
      </c>
      <c r="G99" s="2">
        <v>66910.3</v>
      </c>
      <c r="H99" s="2">
        <v>26279.65</v>
      </c>
    </row>
    <row r="100" spans="1:8">
      <c r="A100" t="s">
        <v>808</v>
      </c>
      <c r="B100" t="s">
        <v>172</v>
      </c>
      <c r="C100" s="1" t="s">
        <v>570</v>
      </c>
      <c r="D100" t="s">
        <v>1260</v>
      </c>
      <c r="E100" s="2">
        <v>118290.72</v>
      </c>
      <c r="F100" s="2">
        <v>118290.72000000002</v>
      </c>
      <c r="G100" s="2">
        <v>12438.880000000003</v>
      </c>
      <c r="H100" s="2">
        <v>12438.88</v>
      </c>
    </row>
    <row r="101" spans="1:8">
      <c r="A101" t="s">
        <v>809</v>
      </c>
      <c r="B101" t="s">
        <v>172</v>
      </c>
      <c r="C101" s="1" t="s">
        <v>171</v>
      </c>
      <c r="D101" t="s">
        <v>1260</v>
      </c>
      <c r="E101" s="2">
        <v>59178.999999999993</v>
      </c>
      <c r="F101" s="2">
        <v>34446.15</v>
      </c>
      <c r="G101" s="2">
        <v>55964</v>
      </c>
      <c r="H101" s="2">
        <v>14092.45</v>
      </c>
    </row>
    <row r="102" spans="1:8">
      <c r="A102" t="s">
        <v>810</v>
      </c>
      <c r="B102" t="s">
        <v>294</v>
      </c>
      <c r="C102" s="1" t="s">
        <v>293</v>
      </c>
      <c r="D102" t="s">
        <v>1261</v>
      </c>
      <c r="E102" s="2">
        <v>83568</v>
      </c>
      <c r="F102" s="2">
        <v>44722.950000000004</v>
      </c>
      <c r="G102" s="2">
        <v>2728798.54</v>
      </c>
      <c r="H102" s="2">
        <v>40162.559999999998</v>
      </c>
    </row>
    <row r="103" spans="1:8">
      <c r="A103" t="s">
        <v>811</v>
      </c>
      <c r="B103" t="s">
        <v>91</v>
      </c>
      <c r="C103" s="1" t="s">
        <v>90</v>
      </c>
      <c r="D103" t="s">
        <v>1262</v>
      </c>
      <c r="E103" s="2">
        <v>580417.09000000008</v>
      </c>
      <c r="F103" s="2">
        <v>580417.09</v>
      </c>
      <c r="G103" s="2">
        <v>74257.540000000008</v>
      </c>
      <c r="H103" s="2">
        <v>12304.45</v>
      </c>
    </row>
    <row r="104" spans="1:8">
      <c r="A104" t="s">
        <v>812</v>
      </c>
      <c r="B104" t="s">
        <v>91</v>
      </c>
      <c r="C104" s="1" t="s">
        <v>436</v>
      </c>
      <c r="D104" t="s">
        <v>1262</v>
      </c>
      <c r="E104" s="2">
        <v>55093</v>
      </c>
      <c r="F104" s="2">
        <v>54110</v>
      </c>
      <c r="G104" s="2">
        <v>23274</v>
      </c>
      <c r="H104" s="2">
        <v>1055.75</v>
      </c>
    </row>
    <row r="105" spans="1:8">
      <c r="A105" t="s">
        <v>813</v>
      </c>
      <c r="B105" t="s">
        <v>618</v>
      </c>
      <c r="C105" s="1" t="s">
        <v>617</v>
      </c>
      <c r="D105" t="s">
        <v>1301</v>
      </c>
      <c r="E105" s="2">
        <v>40115</v>
      </c>
      <c r="F105" s="2">
        <v>21680</v>
      </c>
      <c r="G105" s="2">
        <v>333188</v>
      </c>
      <c r="H105" s="2">
        <v>316528.59999999998</v>
      </c>
    </row>
    <row r="106" spans="1:8">
      <c r="A106" t="s">
        <v>814</v>
      </c>
      <c r="B106" t="s">
        <v>284</v>
      </c>
      <c r="C106" s="1" t="s">
        <v>283</v>
      </c>
      <c r="D106" t="s">
        <v>1302</v>
      </c>
      <c r="E106" s="2">
        <v>77430</v>
      </c>
      <c r="F106" s="2">
        <v>75271</v>
      </c>
      <c r="G106" s="2">
        <v>608912</v>
      </c>
      <c r="H106" s="2">
        <v>608912</v>
      </c>
    </row>
    <row r="107" spans="1:8">
      <c r="A107" t="s">
        <v>815</v>
      </c>
      <c r="B107" t="s">
        <v>630</v>
      </c>
      <c r="C107" s="1" t="s">
        <v>629</v>
      </c>
      <c r="D107" t="s">
        <v>1303</v>
      </c>
      <c r="E107" s="2">
        <v>3119698.59</v>
      </c>
      <c r="F107" s="2">
        <v>1400036.5899999999</v>
      </c>
      <c r="G107" s="2">
        <v>200591.42999999996</v>
      </c>
      <c r="H107" s="2">
        <v>200591.43</v>
      </c>
    </row>
    <row r="108" spans="1:8">
      <c r="A108" t="s">
        <v>816</v>
      </c>
      <c r="B108" t="s">
        <v>183</v>
      </c>
      <c r="C108" s="1" t="s">
        <v>182</v>
      </c>
      <c r="D108" t="s">
        <v>1304</v>
      </c>
      <c r="E108" s="2">
        <v>763420.59999999986</v>
      </c>
      <c r="F108" s="2">
        <v>94338.19</v>
      </c>
      <c r="G108" s="2">
        <v>80388</v>
      </c>
      <c r="H108" s="2">
        <v>33030.199999999997</v>
      </c>
    </row>
    <row r="109" spans="1:8">
      <c r="A109" t="s">
        <v>817</v>
      </c>
      <c r="B109" t="s">
        <v>183</v>
      </c>
      <c r="C109" s="1" t="s">
        <v>422</v>
      </c>
      <c r="D109" t="s">
        <v>1304</v>
      </c>
      <c r="E109" s="2">
        <v>80928.639999999999</v>
      </c>
      <c r="F109" s="2">
        <v>79721.64</v>
      </c>
      <c r="G109" s="2">
        <v>39635.80000000001</v>
      </c>
      <c r="H109" s="2">
        <v>31212.73</v>
      </c>
    </row>
    <row r="110" spans="1:8">
      <c r="A110" t="s">
        <v>818</v>
      </c>
      <c r="B110" t="s">
        <v>177</v>
      </c>
      <c r="C110" s="1" t="s">
        <v>398</v>
      </c>
      <c r="D110" t="s">
        <v>1305</v>
      </c>
      <c r="E110" s="2">
        <v>52737</v>
      </c>
      <c r="F110" s="2">
        <v>49433</v>
      </c>
      <c r="G110" s="2">
        <v>858211.53999999992</v>
      </c>
      <c r="H110" s="2">
        <v>773178.49000000011</v>
      </c>
    </row>
    <row r="111" spans="1:8">
      <c r="A111" t="s">
        <v>819</v>
      </c>
      <c r="B111" t="s">
        <v>177</v>
      </c>
      <c r="C111" s="1" t="s">
        <v>176</v>
      </c>
      <c r="D111" t="s">
        <v>1305</v>
      </c>
      <c r="E111" s="2">
        <v>1234236.1599999997</v>
      </c>
      <c r="F111" s="2">
        <v>1161971.5899999999</v>
      </c>
      <c r="G111" s="2">
        <v>72103.14</v>
      </c>
      <c r="H111" s="2">
        <v>23366.9</v>
      </c>
    </row>
    <row r="112" spans="1:8">
      <c r="A112" t="s">
        <v>821</v>
      </c>
      <c r="B112" t="s">
        <v>415</v>
      </c>
      <c r="C112" s="1" t="s">
        <v>549</v>
      </c>
      <c r="D112" t="s">
        <v>1361</v>
      </c>
      <c r="E112" s="2">
        <v>179346.98</v>
      </c>
      <c r="F112" s="2">
        <v>38149.800000000003</v>
      </c>
      <c r="G112" s="2">
        <v>60565.79</v>
      </c>
      <c r="H112" s="2">
        <v>40349.94</v>
      </c>
    </row>
    <row r="113" spans="1:8">
      <c r="A113" t="s">
        <v>822</v>
      </c>
      <c r="B113" t="s">
        <v>415</v>
      </c>
      <c r="C113" s="1" t="s">
        <v>414</v>
      </c>
      <c r="D113" t="s">
        <v>1361</v>
      </c>
      <c r="E113" s="2">
        <v>86908.35</v>
      </c>
      <c r="F113" s="2">
        <v>76959</v>
      </c>
      <c r="G113" s="2">
        <v>473707.75</v>
      </c>
      <c r="H113" s="2">
        <v>94754</v>
      </c>
    </row>
    <row r="114" spans="1:8">
      <c r="A114" t="s">
        <v>823</v>
      </c>
      <c r="B114" t="s">
        <v>129</v>
      </c>
      <c r="C114" s="1" t="s">
        <v>128</v>
      </c>
      <c r="D114" t="s">
        <v>1362</v>
      </c>
      <c r="E114" s="2">
        <v>2036731.1600000004</v>
      </c>
      <c r="F114" s="2">
        <v>2036731.16</v>
      </c>
      <c r="G114" s="2">
        <v>2040133.6600000001</v>
      </c>
      <c r="H114" s="2">
        <v>1389897.4699999997</v>
      </c>
    </row>
    <row r="115" spans="1:8">
      <c r="A115" t="s">
        <v>824</v>
      </c>
      <c r="B115" t="s">
        <v>129</v>
      </c>
      <c r="C115" s="1" t="s">
        <v>470</v>
      </c>
      <c r="D115" t="s">
        <v>1362</v>
      </c>
      <c r="E115" s="2">
        <v>57086.61</v>
      </c>
      <c r="F115" s="2">
        <v>56103.61</v>
      </c>
      <c r="G115" s="2">
        <v>54347.669999999984</v>
      </c>
      <c r="H115" s="2">
        <v>31676.36</v>
      </c>
    </row>
    <row r="116" spans="1:8">
      <c r="A116" t="s">
        <v>826</v>
      </c>
      <c r="B116" t="s">
        <v>280</v>
      </c>
      <c r="C116" s="1" t="s">
        <v>279</v>
      </c>
      <c r="D116" t="s">
        <v>1363</v>
      </c>
      <c r="E116" s="2">
        <v>69086.61</v>
      </c>
      <c r="F116" s="2">
        <v>65156.409999999996</v>
      </c>
      <c r="G116" s="2">
        <v>77654</v>
      </c>
      <c r="H116" s="2">
        <v>39538.9</v>
      </c>
    </row>
    <row r="117" spans="1:8">
      <c r="A117" t="s">
        <v>828</v>
      </c>
      <c r="B117" t="s">
        <v>274</v>
      </c>
      <c r="C117" s="1" t="s">
        <v>273</v>
      </c>
      <c r="D117" t="s">
        <v>1365</v>
      </c>
      <c r="E117" s="2">
        <v>155715.64000000001</v>
      </c>
      <c r="F117" s="2">
        <v>137828.44</v>
      </c>
      <c r="G117" s="2">
        <v>422035</v>
      </c>
      <c r="H117" s="2">
        <v>0</v>
      </c>
    </row>
    <row r="118" spans="1:8">
      <c r="A118" t="s">
        <v>829</v>
      </c>
      <c r="B118" t="s">
        <v>572</v>
      </c>
      <c r="C118" s="1" t="s">
        <v>571</v>
      </c>
      <c r="D118" t="s">
        <v>1366</v>
      </c>
      <c r="E118" s="2">
        <v>58004.579999999994</v>
      </c>
      <c r="F118" s="2">
        <v>57370.58</v>
      </c>
      <c r="G118" s="2">
        <v>2294.3700000000026</v>
      </c>
      <c r="H118" s="2">
        <v>2294.37</v>
      </c>
    </row>
    <row r="119" spans="1:8">
      <c r="A119" t="s">
        <v>830</v>
      </c>
      <c r="B119" t="s">
        <v>577</v>
      </c>
      <c r="C119" s="1" t="s">
        <v>576</v>
      </c>
      <c r="D119" t="s">
        <v>1367</v>
      </c>
      <c r="E119" s="2">
        <v>64157.929999999993</v>
      </c>
      <c r="F119" s="2">
        <v>63523.93</v>
      </c>
      <c r="G119" s="2">
        <v>517233.92999999993</v>
      </c>
      <c r="H119" s="2">
        <v>420016.06000000011</v>
      </c>
    </row>
    <row r="120" spans="1:8">
      <c r="A120" t="s">
        <v>831</v>
      </c>
      <c r="B120" t="s">
        <v>606</v>
      </c>
      <c r="C120" s="1" t="s">
        <v>605</v>
      </c>
      <c r="D120" t="s">
        <v>1368</v>
      </c>
      <c r="E120" s="2">
        <v>64316.320000000007</v>
      </c>
      <c r="F120" s="2">
        <v>63682.320000000007</v>
      </c>
      <c r="G120" s="2">
        <v>2629422.77</v>
      </c>
      <c r="H120" s="2">
        <v>2569845.1600000006</v>
      </c>
    </row>
    <row r="121" spans="1:8">
      <c r="A121" t="s">
        <v>832</v>
      </c>
      <c r="B121" t="s">
        <v>255</v>
      </c>
      <c r="C121" s="1" t="s">
        <v>254</v>
      </c>
      <c r="D121" t="s">
        <v>1238</v>
      </c>
      <c r="E121" s="2">
        <v>2629422.77</v>
      </c>
      <c r="F121" s="2">
        <v>2620255.7199999988</v>
      </c>
      <c r="G121" s="2">
        <v>325368.04999999993</v>
      </c>
      <c r="H121" s="2">
        <v>325368.05000000005</v>
      </c>
    </row>
    <row r="122" spans="1:8">
      <c r="A122" t="s">
        <v>833</v>
      </c>
      <c r="B122" t="s">
        <v>175</v>
      </c>
      <c r="C122" s="1" t="s">
        <v>174</v>
      </c>
      <c r="D122" t="s">
        <v>1239</v>
      </c>
      <c r="E122" s="2">
        <v>325368.04999999987</v>
      </c>
      <c r="F122" s="2">
        <v>325368.05</v>
      </c>
      <c r="G122" s="2">
        <v>60358.41</v>
      </c>
      <c r="H122" s="2">
        <v>21797.690000000002</v>
      </c>
    </row>
    <row r="123" spans="1:8">
      <c r="A123" t="s">
        <v>834</v>
      </c>
      <c r="B123" t="s">
        <v>411</v>
      </c>
      <c r="C123" s="1" t="s">
        <v>410</v>
      </c>
      <c r="D123" t="s">
        <v>1240</v>
      </c>
      <c r="E123" s="2">
        <v>60358.41</v>
      </c>
      <c r="F123" s="2">
        <v>53266.41</v>
      </c>
      <c r="G123" s="2">
        <v>926370.8</v>
      </c>
      <c r="H123" s="2">
        <v>917774.8</v>
      </c>
    </row>
    <row r="124" spans="1:8">
      <c r="A124" t="s">
        <v>835</v>
      </c>
      <c r="B124" t="s">
        <v>23</v>
      </c>
      <c r="C124" s="1" t="s">
        <v>22</v>
      </c>
      <c r="D124" t="s">
        <v>1241</v>
      </c>
      <c r="E124" s="2">
        <v>926370.80000000028</v>
      </c>
      <c r="F124" s="2">
        <v>926370.80000000016</v>
      </c>
      <c r="G124" s="2">
        <v>97394.95</v>
      </c>
      <c r="H124" s="2">
        <v>56469.17</v>
      </c>
    </row>
    <row r="125" spans="1:8">
      <c r="A125" t="s">
        <v>836</v>
      </c>
      <c r="B125" t="s">
        <v>23</v>
      </c>
      <c r="C125" s="1" t="s">
        <v>412</v>
      </c>
      <c r="D125" t="s">
        <v>1241</v>
      </c>
      <c r="E125" s="2">
        <v>97394.95</v>
      </c>
      <c r="F125" s="2">
        <v>88119.95</v>
      </c>
      <c r="G125" s="2">
        <v>1196053.6599999999</v>
      </c>
      <c r="H125" s="2">
        <v>751615.66</v>
      </c>
    </row>
    <row r="126" spans="1:8">
      <c r="A126" t="s">
        <v>837</v>
      </c>
      <c r="B126" t="s">
        <v>329</v>
      </c>
      <c r="C126" s="1" t="s">
        <v>328</v>
      </c>
      <c r="D126" t="s">
        <v>1242</v>
      </c>
      <c r="E126" s="2">
        <v>1196053.6599999999</v>
      </c>
      <c r="F126" s="2">
        <v>1029896.9600000001</v>
      </c>
      <c r="G126" s="2">
        <v>77378.959999999992</v>
      </c>
      <c r="H126" s="2">
        <v>6995.25</v>
      </c>
    </row>
    <row r="127" spans="1:8">
      <c r="A127" t="s">
        <v>838</v>
      </c>
      <c r="B127" t="s">
        <v>329</v>
      </c>
      <c r="C127" s="1" t="s">
        <v>357</v>
      </c>
      <c r="D127" t="s">
        <v>1242</v>
      </c>
      <c r="E127" s="2">
        <v>77378.959999999992</v>
      </c>
      <c r="F127" s="2">
        <v>54532.89</v>
      </c>
      <c r="G127" s="2">
        <v>1999490</v>
      </c>
      <c r="H127" s="2">
        <v>1466639.28</v>
      </c>
    </row>
    <row r="128" spans="1:8">
      <c r="A128" t="s">
        <v>839</v>
      </c>
      <c r="B128" t="s">
        <v>45</v>
      </c>
      <c r="C128" s="1" t="s">
        <v>44</v>
      </c>
      <c r="D128" t="s">
        <v>1243</v>
      </c>
      <c r="E128" s="2">
        <v>1999490.0000000002</v>
      </c>
      <c r="F128" s="2">
        <v>1523556.7299999997</v>
      </c>
      <c r="G128" s="2">
        <v>1429551.9099999997</v>
      </c>
      <c r="H128" s="2">
        <v>1402255.77</v>
      </c>
    </row>
    <row r="129" spans="1:8">
      <c r="A129" t="s">
        <v>840</v>
      </c>
      <c r="B129" t="s">
        <v>226</v>
      </c>
      <c r="C129" s="1" t="s">
        <v>225</v>
      </c>
      <c r="D129" t="s">
        <v>1244</v>
      </c>
      <c r="E129" s="2">
        <v>1429551.9099999997</v>
      </c>
      <c r="F129" s="2">
        <v>1420231.6099999996</v>
      </c>
      <c r="G129" s="2">
        <v>699501</v>
      </c>
      <c r="H129" s="2">
        <v>0</v>
      </c>
    </row>
    <row r="130" spans="1:8">
      <c r="A130" t="s">
        <v>841</v>
      </c>
      <c r="B130" t="s">
        <v>226</v>
      </c>
      <c r="C130" s="1" t="s">
        <v>644</v>
      </c>
      <c r="D130" t="s">
        <v>1436</v>
      </c>
      <c r="E130" s="2">
        <v>1296238.3399999999</v>
      </c>
      <c r="F130" s="2">
        <v>244786</v>
      </c>
      <c r="G130" s="2">
        <v>340097.91000000003</v>
      </c>
      <c r="H130" s="2">
        <v>178115.27</v>
      </c>
    </row>
    <row r="131" spans="1:8">
      <c r="A131" t="s">
        <v>842</v>
      </c>
      <c r="B131" t="s">
        <v>373</v>
      </c>
      <c r="C131" s="1" t="s">
        <v>372</v>
      </c>
      <c r="D131" t="s">
        <v>1245</v>
      </c>
      <c r="E131" s="2">
        <v>340097.91</v>
      </c>
      <c r="F131" s="2">
        <v>320305.27</v>
      </c>
      <c r="G131" s="2">
        <v>55862.32</v>
      </c>
      <c r="H131" s="2">
        <v>4663</v>
      </c>
    </row>
    <row r="132" spans="1:8">
      <c r="A132" t="s">
        <v>843</v>
      </c>
      <c r="B132" t="s">
        <v>373</v>
      </c>
      <c r="C132" s="1" t="s">
        <v>413</v>
      </c>
      <c r="D132" t="s">
        <v>1245</v>
      </c>
      <c r="E132" s="2">
        <v>55862.32</v>
      </c>
      <c r="F132" s="2">
        <v>41393.61</v>
      </c>
      <c r="G132" s="2">
        <v>362258.22000000003</v>
      </c>
      <c r="H132" s="2">
        <v>362258.22</v>
      </c>
    </row>
    <row r="133" spans="1:8">
      <c r="A133" t="s">
        <v>844</v>
      </c>
      <c r="B133" t="s">
        <v>27</v>
      </c>
      <c r="C133" s="1" t="s">
        <v>26</v>
      </c>
      <c r="D133" t="s">
        <v>1246</v>
      </c>
      <c r="E133" s="2">
        <v>362258.22</v>
      </c>
      <c r="F133" s="2">
        <v>362258.22</v>
      </c>
      <c r="G133" s="2">
        <v>495156.1100000001</v>
      </c>
      <c r="H133" s="2">
        <v>495156.11</v>
      </c>
    </row>
    <row r="134" spans="1:8">
      <c r="A134" t="s">
        <v>845</v>
      </c>
      <c r="B134" t="s">
        <v>455</v>
      </c>
      <c r="C134" s="1" t="s">
        <v>454</v>
      </c>
      <c r="D134" t="s">
        <v>1247</v>
      </c>
      <c r="E134" s="2">
        <v>495156.11</v>
      </c>
      <c r="F134" s="2">
        <v>495156.11</v>
      </c>
      <c r="G134" s="2">
        <v>260921.37</v>
      </c>
      <c r="H134" s="2">
        <v>16941.23</v>
      </c>
    </row>
    <row r="135" spans="1:8">
      <c r="A135" t="s">
        <v>846</v>
      </c>
      <c r="B135" t="s">
        <v>476</v>
      </c>
      <c r="C135" s="1" t="s">
        <v>475</v>
      </c>
      <c r="D135" t="s">
        <v>1248</v>
      </c>
      <c r="E135" s="2">
        <v>260921.37000000008</v>
      </c>
      <c r="F135" s="2">
        <v>56305.359999999993</v>
      </c>
      <c r="G135" s="2">
        <v>5372185</v>
      </c>
      <c r="H135" s="2">
        <v>1895394.12</v>
      </c>
    </row>
    <row r="136" spans="1:8">
      <c r="A136" t="s">
        <v>847</v>
      </c>
      <c r="B136" t="s">
        <v>394</v>
      </c>
      <c r="C136" s="1" t="s">
        <v>393</v>
      </c>
      <c r="D136" t="s">
        <v>1249</v>
      </c>
      <c r="E136" s="2">
        <v>5474876</v>
      </c>
      <c r="F136" s="2">
        <v>3261109.12</v>
      </c>
      <c r="G136" s="2">
        <v>605000</v>
      </c>
      <c r="H136" s="2">
        <v>195129.30999999997</v>
      </c>
    </row>
    <row r="137" spans="1:8">
      <c r="A137" t="s">
        <v>849</v>
      </c>
      <c r="B137" t="s">
        <v>625</v>
      </c>
      <c r="C137" s="1" t="s">
        <v>645</v>
      </c>
      <c r="D137" t="s">
        <v>1437</v>
      </c>
      <c r="E137" s="2">
        <v>605000</v>
      </c>
      <c r="F137" s="2">
        <v>390997.10000000003</v>
      </c>
      <c r="G137" s="2">
        <v>38849</v>
      </c>
      <c r="H137" s="2">
        <v>13948.3</v>
      </c>
    </row>
    <row r="138" spans="1:8">
      <c r="A138" t="s">
        <v>850</v>
      </c>
      <c r="B138" t="s">
        <v>181</v>
      </c>
      <c r="C138" s="1" t="s">
        <v>180</v>
      </c>
      <c r="D138" t="s">
        <v>1250</v>
      </c>
      <c r="E138" s="2">
        <v>1356781.44</v>
      </c>
      <c r="F138" s="2">
        <v>1356781.44</v>
      </c>
      <c r="G138" s="2">
        <v>368398</v>
      </c>
      <c r="H138" s="2">
        <v>284088.53999999998</v>
      </c>
    </row>
    <row r="139" spans="1:8">
      <c r="A139" t="s">
        <v>851</v>
      </c>
      <c r="B139" t="s">
        <v>181</v>
      </c>
      <c r="C139" s="1" t="s">
        <v>495</v>
      </c>
      <c r="D139" t="s">
        <v>1250</v>
      </c>
      <c r="E139" s="2">
        <v>38849</v>
      </c>
      <c r="F139" s="2">
        <v>32537</v>
      </c>
      <c r="G139" s="2">
        <v>811513.43</v>
      </c>
      <c r="H139" s="2">
        <v>811513.43</v>
      </c>
    </row>
    <row r="140" spans="1:8">
      <c r="A140" t="s">
        <v>852</v>
      </c>
      <c r="B140" t="s">
        <v>431</v>
      </c>
      <c r="C140" s="1" t="s">
        <v>430</v>
      </c>
      <c r="D140" t="s">
        <v>1251</v>
      </c>
      <c r="E140" s="2">
        <v>368398</v>
      </c>
      <c r="F140" s="2">
        <v>284088.53999999998</v>
      </c>
      <c r="G140" s="2">
        <v>2751321.9999999995</v>
      </c>
      <c r="H140" s="2">
        <v>2722903.9499999993</v>
      </c>
    </row>
    <row r="141" spans="1:8">
      <c r="A141" t="s">
        <v>853</v>
      </c>
      <c r="B141" t="s">
        <v>404</v>
      </c>
      <c r="C141" s="1" t="s">
        <v>403</v>
      </c>
      <c r="D141" t="s">
        <v>1252</v>
      </c>
      <c r="E141" s="2">
        <v>811513.43</v>
      </c>
      <c r="F141" s="2">
        <v>811513.42999999993</v>
      </c>
      <c r="G141" s="2">
        <v>38678</v>
      </c>
      <c r="H141" s="2">
        <v>3919</v>
      </c>
    </row>
    <row r="142" spans="1:8">
      <c r="A142" t="s">
        <v>854</v>
      </c>
      <c r="B142" t="s">
        <v>272</v>
      </c>
      <c r="C142" s="1" t="s">
        <v>271</v>
      </c>
      <c r="D142" t="s">
        <v>1253</v>
      </c>
      <c r="E142" s="2">
        <v>2751321.9999999995</v>
      </c>
      <c r="F142" s="2">
        <v>2731516.2499999995</v>
      </c>
      <c r="G142" s="2">
        <v>163441.83000000002</v>
      </c>
      <c r="H142" s="2">
        <v>163441.82999999999</v>
      </c>
    </row>
    <row r="143" spans="1:8">
      <c r="A143" t="s">
        <v>855</v>
      </c>
      <c r="B143" t="s">
        <v>272</v>
      </c>
      <c r="C143" s="1" t="s">
        <v>362</v>
      </c>
      <c r="D143" t="s">
        <v>1253</v>
      </c>
      <c r="E143" s="2">
        <v>38678</v>
      </c>
      <c r="F143" s="2">
        <v>31514.5</v>
      </c>
      <c r="G143" s="2">
        <v>154349.75</v>
      </c>
      <c r="H143" s="2">
        <v>154349.75</v>
      </c>
    </row>
    <row r="144" spans="1:8">
      <c r="A144" t="s">
        <v>856</v>
      </c>
      <c r="B144" t="s">
        <v>325</v>
      </c>
      <c r="C144" s="1" t="s">
        <v>324</v>
      </c>
      <c r="D144" t="s">
        <v>1438</v>
      </c>
      <c r="E144" s="2">
        <v>163441.82999999999</v>
      </c>
      <c r="F144" s="2">
        <v>163441.82999999999</v>
      </c>
      <c r="G144" s="2">
        <v>262569.65000000002</v>
      </c>
      <c r="H144" s="2">
        <v>262569.64999999997</v>
      </c>
    </row>
    <row r="145" spans="1:8">
      <c r="A145" t="s">
        <v>857</v>
      </c>
      <c r="B145" t="s">
        <v>692</v>
      </c>
      <c r="C145" s="1" t="s">
        <v>691</v>
      </c>
      <c r="D145" t="s">
        <v>1438</v>
      </c>
      <c r="E145" s="2">
        <v>154349.75</v>
      </c>
      <c r="F145" s="2">
        <v>154349.75</v>
      </c>
      <c r="G145" s="2">
        <v>154349.75</v>
      </c>
      <c r="H145" s="2">
        <v>154349.75</v>
      </c>
    </row>
    <row r="146" spans="1:8">
      <c r="A146" t="s">
        <v>858</v>
      </c>
      <c r="B146" t="s">
        <v>671</v>
      </c>
      <c r="C146" s="1" t="s">
        <v>670</v>
      </c>
      <c r="D146" t="s">
        <v>1256</v>
      </c>
      <c r="E146" s="2">
        <v>262569.65000000002</v>
      </c>
      <c r="F146" s="2">
        <v>262569.64999999997</v>
      </c>
      <c r="G146" s="2">
        <v>154349.75</v>
      </c>
      <c r="H146" s="2">
        <v>154349.75</v>
      </c>
    </row>
    <row r="147" spans="1:8">
      <c r="A147" t="s">
        <v>859</v>
      </c>
      <c r="B147" t="s">
        <v>327</v>
      </c>
      <c r="C147" s="1" t="s">
        <v>326</v>
      </c>
      <c r="D147" t="s">
        <v>1438</v>
      </c>
      <c r="E147" s="2">
        <v>154349.75</v>
      </c>
      <c r="F147" s="2">
        <v>154349.75</v>
      </c>
      <c r="G147" s="2">
        <v>2342119.4499999997</v>
      </c>
      <c r="H147" s="2">
        <v>2333575.4800000018</v>
      </c>
    </row>
    <row r="148" spans="1:8">
      <c r="A148" t="s">
        <v>860</v>
      </c>
      <c r="B148" t="s">
        <v>185</v>
      </c>
      <c r="C148" s="1" t="s">
        <v>184</v>
      </c>
      <c r="D148" t="s">
        <v>1438</v>
      </c>
      <c r="E148" s="2">
        <v>154349.75</v>
      </c>
      <c r="F148" s="2">
        <v>154349.75</v>
      </c>
      <c r="G148" s="2">
        <v>98822.54</v>
      </c>
      <c r="H148" s="2">
        <v>59079.41</v>
      </c>
    </row>
    <row r="149" spans="1:8">
      <c r="A149" t="s">
        <v>861</v>
      </c>
      <c r="B149" t="s">
        <v>222</v>
      </c>
      <c r="C149" s="1" t="s">
        <v>221</v>
      </c>
      <c r="D149" t="s">
        <v>1277</v>
      </c>
      <c r="E149" s="2">
        <v>396312.42999999993</v>
      </c>
      <c r="F149" s="2">
        <v>396312.42999999993</v>
      </c>
      <c r="G149" s="2">
        <v>227005.56</v>
      </c>
      <c r="H149" s="2">
        <v>227005.56</v>
      </c>
    </row>
    <row r="150" spans="1:8">
      <c r="A150" t="s">
        <v>862</v>
      </c>
      <c r="B150" t="s">
        <v>222</v>
      </c>
      <c r="C150" s="1" t="s">
        <v>256</v>
      </c>
      <c r="D150" t="s">
        <v>1277</v>
      </c>
      <c r="E150" s="2">
        <v>284996.25</v>
      </c>
      <c r="F150" s="2">
        <v>284996.25000000006</v>
      </c>
      <c r="G150" s="2">
        <v>116271.35</v>
      </c>
      <c r="H150" s="2">
        <v>116271.35</v>
      </c>
    </row>
    <row r="151" spans="1:8">
      <c r="A151" t="s">
        <v>863</v>
      </c>
      <c r="B151" t="s">
        <v>351</v>
      </c>
      <c r="C151" s="1" t="s">
        <v>350</v>
      </c>
      <c r="D151" t="s">
        <v>1278</v>
      </c>
      <c r="E151" s="2">
        <v>504586.42</v>
      </c>
      <c r="F151" s="2">
        <v>500745.98</v>
      </c>
      <c r="G151" s="2">
        <v>118290.72000000003</v>
      </c>
      <c r="H151" s="2">
        <v>118290.72</v>
      </c>
    </row>
    <row r="152" spans="1:8">
      <c r="A152" t="s">
        <v>864</v>
      </c>
      <c r="B152" t="s">
        <v>351</v>
      </c>
      <c r="C152" s="1" t="s">
        <v>392</v>
      </c>
      <c r="D152" t="s">
        <v>1278</v>
      </c>
      <c r="E152" s="2">
        <v>77378.959999999992</v>
      </c>
      <c r="F152" s="2">
        <v>60387.360000000001</v>
      </c>
      <c r="G152" s="2">
        <v>59179</v>
      </c>
      <c r="H152" s="2">
        <v>27119.47</v>
      </c>
    </row>
    <row r="153" spans="1:8">
      <c r="A153" t="s">
        <v>865</v>
      </c>
      <c r="B153" t="s">
        <v>406</v>
      </c>
      <c r="C153" s="1" t="s">
        <v>405</v>
      </c>
      <c r="D153" t="s">
        <v>1279</v>
      </c>
      <c r="E153" s="2">
        <v>1069177.3499999992</v>
      </c>
      <c r="F153" s="2">
        <v>925160.04</v>
      </c>
      <c r="G153" s="2">
        <v>66065</v>
      </c>
      <c r="H153" s="2">
        <v>35971.449999999997</v>
      </c>
    </row>
    <row r="154" spans="1:8">
      <c r="A154" t="s">
        <v>866</v>
      </c>
      <c r="B154" t="s">
        <v>460</v>
      </c>
      <c r="C154" s="1" t="s">
        <v>481</v>
      </c>
      <c r="D154" t="s">
        <v>1280</v>
      </c>
      <c r="E154" s="2">
        <v>140259.00000000003</v>
      </c>
      <c r="F154" s="2">
        <v>139108.56</v>
      </c>
      <c r="G154" s="2">
        <v>580417.09000000008</v>
      </c>
      <c r="H154" s="2">
        <v>580167.09000000008</v>
      </c>
    </row>
    <row r="155" spans="1:8">
      <c r="A155" t="s">
        <v>867</v>
      </c>
      <c r="B155" t="s">
        <v>460</v>
      </c>
      <c r="C155" s="1" t="s">
        <v>459</v>
      </c>
      <c r="D155" t="s">
        <v>1280</v>
      </c>
      <c r="E155" s="2">
        <v>109734.57</v>
      </c>
      <c r="F155" s="2">
        <v>94283.97</v>
      </c>
      <c r="G155" s="2">
        <v>55093</v>
      </c>
      <c r="H155" s="2">
        <v>18880.5</v>
      </c>
    </row>
    <row r="156" spans="1:8">
      <c r="A156" t="s">
        <v>868</v>
      </c>
      <c r="B156" t="s">
        <v>224</v>
      </c>
      <c r="C156" s="1" t="s">
        <v>223</v>
      </c>
      <c r="D156" t="s">
        <v>1281</v>
      </c>
      <c r="E156" s="2">
        <v>194760.83999999997</v>
      </c>
      <c r="F156" s="2">
        <v>194518.88</v>
      </c>
      <c r="G156" s="2">
        <v>1503197.3900000001</v>
      </c>
      <c r="H156" s="2">
        <v>575502.99</v>
      </c>
    </row>
    <row r="157" spans="1:8">
      <c r="A157" t="s">
        <v>869</v>
      </c>
      <c r="B157" t="s">
        <v>627</v>
      </c>
      <c r="C157" s="1" t="s">
        <v>626</v>
      </c>
      <c r="D157" t="s">
        <v>1282</v>
      </c>
      <c r="E157" s="2">
        <v>165797.57999999999</v>
      </c>
      <c r="F157" s="2">
        <v>165797.57999999999</v>
      </c>
      <c r="G157" s="2">
        <v>56862.79</v>
      </c>
      <c r="H157" s="2">
        <v>43979.6</v>
      </c>
    </row>
    <row r="158" spans="1:8">
      <c r="A158" t="s">
        <v>870</v>
      </c>
      <c r="B158" t="s">
        <v>501</v>
      </c>
      <c r="C158" s="1" t="s">
        <v>405</v>
      </c>
      <c r="D158" t="s">
        <v>1279</v>
      </c>
      <c r="E158" s="2">
        <v>821931</v>
      </c>
      <c r="F158" s="2">
        <v>811456.81</v>
      </c>
      <c r="G158" s="2">
        <v>40029.770000000004</v>
      </c>
      <c r="H158" s="2">
        <v>38575.18</v>
      </c>
    </row>
    <row r="159" spans="1:8">
      <c r="A159" t="s">
        <v>871</v>
      </c>
      <c r="B159" t="s">
        <v>529</v>
      </c>
      <c r="C159" s="1" t="s">
        <v>405</v>
      </c>
      <c r="D159" t="s">
        <v>1279</v>
      </c>
      <c r="E159" s="2">
        <v>12055.000000000004</v>
      </c>
      <c r="F159" s="2">
        <v>12055</v>
      </c>
      <c r="G159" s="2">
        <v>294107.64</v>
      </c>
      <c r="H159" s="2">
        <v>167514.64000000001</v>
      </c>
    </row>
    <row r="160" spans="1:8">
      <c r="A160" t="s">
        <v>872</v>
      </c>
      <c r="B160" t="s">
        <v>170</v>
      </c>
      <c r="C160" s="1" t="s">
        <v>169</v>
      </c>
      <c r="D160" t="s">
        <v>1283</v>
      </c>
      <c r="E160" s="2">
        <v>2391913.9799999991</v>
      </c>
      <c r="F160" s="2">
        <v>2357127.65</v>
      </c>
      <c r="G160" s="2">
        <v>38452.58</v>
      </c>
      <c r="H160" s="2">
        <v>36993.780000000006</v>
      </c>
    </row>
    <row r="161" spans="1:8">
      <c r="A161" t="s">
        <v>873</v>
      </c>
      <c r="B161" t="s">
        <v>170</v>
      </c>
      <c r="C161" s="1" t="s">
        <v>407</v>
      </c>
      <c r="D161" t="s">
        <v>1283</v>
      </c>
      <c r="E161" s="2">
        <v>109324.18</v>
      </c>
      <c r="F161" s="2">
        <v>100453.18</v>
      </c>
      <c r="G161" s="2">
        <v>146786.34</v>
      </c>
      <c r="H161" s="2">
        <v>139786.34</v>
      </c>
    </row>
    <row r="162" spans="1:8">
      <c r="A162" t="s">
        <v>874</v>
      </c>
      <c r="B162" t="s">
        <v>688</v>
      </c>
      <c r="C162" s="1" t="s">
        <v>687</v>
      </c>
      <c r="D162" t="s">
        <v>1284</v>
      </c>
      <c r="E162" s="2">
        <v>142714.5</v>
      </c>
      <c r="F162" s="2">
        <v>142714.5</v>
      </c>
      <c r="G162" s="2">
        <v>26155</v>
      </c>
      <c r="H162" s="2">
        <v>21004.5</v>
      </c>
    </row>
    <row r="163" spans="1:8">
      <c r="A163" t="s">
        <v>875</v>
      </c>
      <c r="B163" t="s">
        <v>179</v>
      </c>
      <c r="C163" s="1" t="s">
        <v>186</v>
      </c>
      <c r="D163" t="s">
        <v>1285</v>
      </c>
      <c r="E163" s="2">
        <v>1897074.5199999998</v>
      </c>
      <c r="F163" s="2">
        <v>1897074.5199999998</v>
      </c>
      <c r="G163" s="2">
        <v>48292</v>
      </c>
      <c r="H163" s="2">
        <v>7500</v>
      </c>
    </row>
    <row r="164" spans="1:8">
      <c r="A164" t="s">
        <v>876</v>
      </c>
      <c r="B164" t="s">
        <v>179</v>
      </c>
      <c r="C164" s="1" t="s">
        <v>178</v>
      </c>
      <c r="D164" t="s">
        <v>1285</v>
      </c>
      <c r="E164" s="2">
        <v>888705.01000000013</v>
      </c>
      <c r="F164" s="2">
        <v>880476.01</v>
      </c>
      <c r="G164" s="2">
        <v>2438133.8199999998</v>
      </c>
      <c r="H164" s="2">
        <v>0</v>
      </c>
    </row>
    <row r="165" spans="1:8">
      <c r="A165" t="s">
        <v>877</v>
      </c>
      <c r="B165" t="s">
        <v>686</v>
      </c>
      <c r="C165" s="1" t="s">
        <v>685</v>
      </c>
      <c r="D165" t="s">
        <v>1286</v>
      </c>
      <c r="E165" s="2">
        <v>261955.77000000005</v>
      </c>
      <c r="F165" s="2">
        <v>261955.77</v>
      </c>
      <c r="G165" s="2">
        <v>799841</v>
      </c>
      <c r="H165" s="2">
        <v>459317.94</v>
      </c>
    </row>
    <row r="166" spans="1:8">
      <c r="A166" t="s">
        <v>878</v>
      </c>
      <c r="B166" t="s">
        <v>418</v>
      </c>
      <c r="C166" s="1" t="s">
        <v>363</v>
      </c>
      <c r="D166" t="s">
        <v>1287</v>
      </c>
      <c r="E166" s="2">
        <v>6530999.9999999991</v>
      </c>
      <c r="F166" s="2">
        <v>2027723.48</v>
      </c>
      <c r="G166" s="2">
        <v>17550</v>
      </c>
      <c r="H166" s="2">
        <v>12860</v>
      </c>
    </row>
    <row r="167" spans="1:8">
      <c r="A167" t="s">
        <v>879</v>
      </c>
      <c r="B167" t="s">
        <v>418</v>
      </c>
      <c r="C167" s="1" t="s">
        <v>425</v>
      </c>
      <c r="D167" t="s">
        <v>1287</v>
      </c>
      <c r="E167" s="2">
        <v>4384703.46</v>
      </c>
      <c r="F167" s="2">
        <v>3028817.0599999996</v>
      </c>
      <c r="G167" s="2">
        <v>73186.78</v>
      </c>
      <c r="H167" s="2">
        <v>69186.78</v>
      </c>
    </row>
    <row r="168" spans="1:8">
      <c r="A168" t="s">
        <v>880</v>
      </c>
      <c r="B168" t="s">
        <v>384</v>
      </c>
      <c r="C168" s="1" t="s">
        <v>383</v>
      </c>
      <c r="D168" t="s">
        <v>1288</v>
      </c>
      <c r="E168" s="2">
        <v>81444.61000000003</v>
      </c>
      <c r="F168" s="2">
        <v>73371.61</v>
      </c>
      <c r="G168" s="2">
        <v>34947.160000000003</v>
      </c>
      <c r="H168" s="2">
        <v>29219.11</v>
      </c>
    </row>
    <row r="169" spans="1:8">
      <c r="A169" t="s">
        <v>881</v>
      </c>
      <c r="B169" t="s">
        <v>667</v>
      </c>
      <c r="C169" s="1" t="s">
        <v>666</v>
      </c>
      <c r="D169" t="s">
        <v>1289</v>
      </c>
      <c r="E169" s="2">
        <v>524061.76</v>
      </c>
      <c r="F169" s="2">
        <v>524061.76</v>
      </c>
      <c r="G169" s="2">
        <v>1963897.3200000003</v>
      </c>
      <c r="H169" s="2">
        <v>1963897.3199999998</v>
      </c>
    </row>
    <row r="170" spans="1:8">
      <c r="A170" t="s">
        <v>882</v>
      </c>
      <c r="B170" t="s">
        <v>364</v>
      </c>
      <c r="C170" s="1" t="s">
        <v>363</v>
      </c>
      <c r="D170" t="s">
        <v>1287</v>
      </c>
      <c r="E170" s="2">
        <v>666333.9</v>
      </c>
      <c r="F170" s="2">
        <v>152590.1</v>
      </c>
      <c r="G170" s="2">
        <v>396312.42999999993</v>
      </c>
      <c r="H170" s="2">
        <v>396312.43</v>
      </c>
    </row>
    <row r="171" spans="1:8">
      <c r="A171" t="s">
        <v>883</v>
      </c>
      <c r="B171" t="s">
        <v>368</v>
      </c>
      <c r="C171" s="1" t="s">
        <v>465</v>
      </c>
      <c r="D171" t="s">
        <v>1334</v>
      </c>
      <c r="E171" s="2">
        <v>404692</v>
      </c>
      <c r="F171" s="2"/>
      <c r="G171" s="2">
        <v>284996.25000000006</v>
      </c>
      <c r="H171" s="2">
        <v>284996.25</v>
      </c>
    </row>
    <row r="172" spans="1:8">
      <c r="A172" t="s">
        <v>884</v>
      </c>
      <c r="B172" t="s">
        <v>368</v>
      </c>
      <c r="C172" s="1" t="s">
        <v>367</v>
      </c>
      <c r="D172" t="s">
        <v>1334</v>
      </c>
      <c r="E172" s="2">
        <v>26554</v>
      </c>
      <c r="F172" s="2"/>
      <c r="G172" s="2">
        <v>504586.42000000004</v>
      </c>
      <c r="H172" s="2">
        <v>412321.31000000006</v>
      </c>
    </row>
    <row r="173" spans="1:8">
      <c r="A173" t="s">
        <v>885</v>
      </c>
      <c r="B173" t="s">
        <v>371</v>
      </c>
      <c r="C173" s="1" t="s">
        <v>370</v>
      </c>
      <c r="D173" t="s">
        <v>1335</v>
      </c>
      <c r="E173" s="2">
        <v>2235395.0699999998</v>
      </c>
      <c r="F173" s="2"/>
      <c r="G173" s="2">
        <v>77378.959999999992</v>
      </c>
      <c r="H173" s="2">
        <v>6995.25</v>
      </c>
    </row>
    <row r="174" spans="1:8">
      <c r="A174" t="s">
        <v>886</v>
      </c>
      <c r="B174" t="s">
        <v>288</v>
      </c>
      <c r="C174" s="1" t="s">
        <v>287</v>
      </c>
      <c r="D174" t="s">
        <v>1336</v>
      </c>
      <c r="E174" s="2">
        <v>1478757.64</v>
      </c>
      <c r="F174" s="2">
        <v>1389391.6900000002</v>
      </c>
      <c r="G174" s="2">
        <v>1069177.3500000001</v>
      </c>
      <c r="H174" s="2">
        <v>546747.99</v>
      </c>
    </row>
    <row r="175" spans="1:8">
      <c r="A175" t="s">
        <v>887</v>
      </c>
      <c r="B175" t="s">
        <v>288</v>
      </c>
      <c r="C175" s="1" t="s">
        <v>458</v>
      </c>
      <c r="D175" t="s">
        <v>1336</v>
      </c>
      <c r="E175" s="2">
        <v>72836.149999999994</v>
      </c>
      <c r="F175" s="2">
        <v>63985.15</v>
      </c>
      <c r="G175" s="2">
        <v>140259</v>
      </c>
      <c r="H175" s="2">
        <v>128459</v>
      </c>
    </row>
    <row r="176" spans="1:8">
      <c r="A176" t="s">
        <v>888</v>
      </c>
      <c r="B176" t="s">
        <v>453</v>
      </c>
      <c r="C176" s="1" t="s">
        <v>452</v>
      </c>
      <c r="D176" t="s">
        <v>1337</v>
      </c>
      <c r="E176" s="2">
        <v>110739.69</v>
      </c>
      <c r="F176" s="2">
        <v>99394.69</v>
      </c>
      <c r="G176" s="2">
        <v>109734.57</v>
      </c>
      <c r="H176" s="2">
        <v>11540</v>
      </c>
    </row>
    <row r="177" spans="1:8">
      <c r="A177" t="s">
        <v>889</v>
      </c>
      <c r="B177" t="s">
        <v>439</v>
      </c>
      <c r="C177" s="1" t="s">
        <v>438</v>
      </c>
      <c r="D177" t="s">
        <v>1338</v>
      </c>
      <c r="E177" s="2">
        <v>129750.08000000002</v>
      </c>
      <c r="F177" s="2">
        <v>119035.08</v>
      </c>
      <c r="G177" s="2">
        <v>194760.84</v>
      </c>
      <c r="H177" s="2">
        <v>194518.88000000003</v>
      </c>
    </row>
    <row r="178" spans="1:8">
      <c r="A178" t="s">
        <v>890</v>
      </c>
      <c r="B178" t="s">
        <v>448</v>
      </c>
      <c r="C178" s="1" t="s">
        <v>447</v>
      </c>
      <c r="D178" t="s">
        <v>1415</v>
      </c>
      <c r="E178" s="2">
        <v>59388</v>
      </c>
      <c r="F178" s="2">
        <v>59388</v>
      </c>
      <c r="G178" s="2">
        <v>166000</v>
      </c>
      <c r="H178" s="2">
        <v>164474.62</v>
      </c>
    </row>
    <row r="179" spans="1:8">
      <c r="A179" t="s">
        <v>891</v>
      </c>
      <c r="B179" t="s">
        <v>526</v>
      </c>
      <c r="C179" s="1" t="s">
        <v>525</v>
      </c>
      <c r="D179" t="s">
        <v>1234</v>
      </c>
      <c r="E179" s="2">
        <v>54347.669999999984</v>
      </c>
      <c r="F179" s="2">
        <v>38654.6</v>
      </c>
      <c r="G179" s="2">
        <v>821931</v>
      </c>
      <c r="H179" s="2">
        <v>0</v>
      </c>
    </row>
    <row r="180" spans="1:8">
      <c r="A180" t="s">
        <v>892</v>
      </c>
      <c r="B180" t="s">
        <v>446</v>
      </c>
      <c r="C180" s="1" t="s">
        <v>445</v>
      </c>
      <c r="D180" t="s">
        <v>1235</v>
      </c>
      <c r="E180" s="2">
        <v>565272.28</v>
      </c>
      <c r="F180" s="2">
        <v>565272.27999999991</v>
      </c>
      <c r="G180" s="2">
        <v>12055</v>
      </c>
      <c r="H180" s="2">
        <v>12055</v>
      </c>
    </row>
    <row r="181" spans="1:8">
      <c r="A181" t="s">
        <v>893</v>
      </c>
      <c r="B181" t="s">
        <v>446</v>
      </c>
      <c r="C181" s="1" t="s">
        <v>520</v>
      </c>
      <c r="D181" t="s">
        <v>1235</v>
      </c>
      <c r="E181" s="2">
        <v>77654</v>
      </c>
      <c r="F181" s="2">
        <v>42601.85</v>
      </c>
      <c r="G181" s="2">
        <v>2391913.9800000004</v>
      </c>
      <c r="H181" s="2">
        <v>1825258.72</v>
      </c>
    </row>
    <row r="182" spans="1:8">
      <c r="A182" t="s">
        <v>894</v>
      </c>
      <c r="B182" t="s">
        <v>446</v>
      </c>
      <c r="C182" s="1" t="s">
        <v>527</v>
      </c>
      <c r="D182" t="s">
        <v>1235</v>
      </c>
      <c r="E182" s="2">
        <v>14874.599999999999</v>
      </c>
      <c r="F182" s="2">
        <v>14874.6</v>
      </c>
      <c r="G182" s="2">
        <v>109324.18</v>
      </c>
      <c r="H182" s="2">
        <v>100453.18</v>
      </c>
    </row>
    <row r="183" spans="1:8">
      <c r="A183" t="s">
        <v>895</v>
      </c>
      <c r="B183" t="s">
        <v>446</v>
      </c>
      <c r="C183" s="1" t="s">
        <v>653</v>
      </c>
      <c r="D183" t="s">
        <v>1235</v>
      </c>
      <c r="E183" s="2">
        <v>896985</v>
      </c>
      <c r="F183" s="2">
        <v>545822</v>
      </c>
      <c r="G183" s="2">
        <v>142714.5</v>
      </c>
      <c r="H183" s="2">
        <v>142714.5</v>
      </c>
    </row>
    <row r="184" spans="1:8">
      <c r="A184" t="s">
        <v>896</v>
      </c>
      <c r="B184" t="s">
        <v>49</v>
      </c>
      <c r="C184" s="1" t="s">
        <v>48</v>
      </c>
      <c r="D184" t="s">
        <v>1259</v>
      </c>
      <c r="E184" s="2">
        <v>2342119.4500000002</v>
      </c>
      <c r="F184" s="2">
        <v>2339604.4500000002</v>
      </c>
      <c r="G184" s="2">
        <v>1897074.5199999996</v>
      </c>
      <c r="H184" s="2">
        <v>1695636.57</v>
      </c>
    </row>
    <row r="185" spans="1:8">
      <c r="A185" t="s">
        <v>897</v>
      </c>
      <c r="B185" t="s">
        <v>49</v>
      </c>
      <c r="C185" s="1" t="s">
        <v>530</v>
      </c>
      <c r="D185" t="s">
        <v>1259</v>
      </c>
      <c r="E185" s="2">
        <v>98822.54</v>
      </c>
      <c r="F185" s="2">
        <v>79693.550000000017</v>
      </c>
      <c r="G185" s="2">
        <v>888705.01</v>
      </c>
      <c r="H185" s="2">
        <v>880476.01</v>
      </c>
    </row>
    <row r="186" spans="1:8">
      <c r="A186" t="s">
        <v>898</v>
      </c>
      <c r="B186" t="s">
        <v>49</v>
      </c>
      <c r="C186" s="1" t="s">
        <v>483</v>
      </c>
      <c r="D186" t="s">
        <v>1259</v>
      </c>
      <c r="E186" s="2">
        <v>227005.56</v>
      </c>
      <c r="F186" s="2">
        <v>227005.56</v>
      </c>
      <c r="G186" s="2">
        <v>261955.77000000002</v>
      </c>
      <c r="H186" s="2">
        <v>261955.77</v>
      </c>
    </row>
    <row r="187" spans="1:8">
      <c r="A187" t="s">
        <v>899</v>
      </c>
      <c r="B187" t="s">
        <v>49</v>
      </c>
      <c r="C187" s="1" t="s">
        <v>546</v>
      </c>
      <c r="D187" t="s">
        <v>1259</v>
      </c>
      <c r="E187" s="2">
        <v>116271.34999999998</v>
      </c>
      <c r="F187" s="2">
        <v>116271.35</v>
      </c>
      <c r="G187" s="2">
        <v>6532343.2199999997</v>
      </c>
      <c r="H187" s="2">
        <v>1531871.89</v>
      </c>
    </row>
    <row r="188" spans="1:8">
      <c r="A188" t="s">
        <v>900</v>
      </c>
      <c r="B188" t="s">
        <v>389</v>
      </c>
      <c r="C188" s="1" t="s">
        <v>388</v>
      </c>
      <c r="D188" t="s">
        <v>1295</v>
      </c>
      <c r="E188" s="2">
        <v>551044</v>
      </c>
      <c r="F188" s="2">
        <v>546484</v>
      </c>
      <c r="G188" s="2">
        <v>4860259.2799999993</v>
      </c>
      <c r="H188" s="2">
        <v>2176111.5499999998</v>
      </c>
    </row>
    <row r="189" spans="1:8">
      <c r="A189" t="s">
        <v>901</v>
      </c>
      <c r="B189" t="s">
        <v>98</v>
      </c>
      <c r="C189" s="1" t="s">
        <v>97</v>
      </c>
      <c r="D189" t="s">
        <v>1291</v>
      </c>
      <c r="E189" s="2">
        <v>638588.62999999989</v>
      </c>
      <c r="F189" s="2">
        <v>638588.63</v>
      </c>
      <c r="G189" s="2">
        <v>81444.61</v>
      </c>
      <c r="H189" s="2">
        <v>73371.61</v>
      </c>
    </row>
    <row r="190" spans="1:8">
      <c r="A190" t="s">
        <v>902</v>
      </c>
      <c r="B190" t="s">
        <v>98</v>
      </c>
      <c r="C190" s="1" t="s">
        <v>395</v>
      </c>
      <c r="D190" t="s">
        <v>1291</v>
      </c>
      <c r="E190" s="2">
        <v>774000</v>
      </c>
      <c r="F190" s="2">
        <v>774000</v>
      </c>
      <c r="G190" s="2">
        <v>524061.76</v>
      </c>
      <c r="H190" s="2">
        <v>524061.76</v>
      </c>
    </row>
    <row r="191" spans="1:8">
      <c r="A191" t="s">
        <v>903</v>
      </c>
      <c r="B191" t="s">
        <v>98</v>
      </c>
      <c r="C191" s="1" t="s">
        <v>689</v>
      </c>
      <c r="D191" t="s">
        <v>1291</v>
      </c>
      <c r="E191" s="2">
        <v>20745</v>
      </c>
      <c r="F191" s="2">
        <v>20745</v>
      </c>
      <c r="G191" s="2">
        <v>666333.9</v>
      </c>
      <c r="H191" s="2">
        <v>53068.1</v>
      </c>
    </row>
    <row r="192" spans="1:8">
      <c r="A192" t="s">
        <v>904</v>
      </c>
      <c r="B192" t="s">
        <v>522</v>
      </c>
      <c r="C192" s="1" t="s">
        <v>521</v>
      </c>
      <c r="D192" t="s">
        <v>1439</v>
      </c>
      <c r="E192" s="2">
        <v>36600.5</v>
      </c>
      <c r="F192" s="2">
        <v>36600.499999999993</v>
      </c>
      <c r="G192" s="2">
        <v>551044</v>
      </c>
      <c r="H192" s="2">
        <v>546484</v>
      </c>
    </row>
    <row r="193" spans="1:8">
      <c r="A193" t="s">
        <v>905</v>
      </c>
      <c r="B193" t="s">
        <v>361</v>
      </c>
      <c r="C193" s="1" t="s">
        <v>360</v>
      </c>
      <c r="D193" t="s">
        <v>1295</v>
      </c>
      <c r="E193" s="2">
        <v>95119</v>
      </c>
      <c r="F193" s="2">
        <v>90559</v>
      </c>
      <c r="G193" s="2">
        <v>638588.62999999989</v>
      </c>
      <c r="H193" s="2">
        <v>637857.46999999986</v>
      </c>
    </row>
    <row r="194" spans="1:8">
      <c r="A194" t="s">
        <v>906</v>
      </c>
      <c r="B194" t="s">
        <v>467</v>
      </c>
      <c r="C194" s="1" t="s">
        <v>466</v>
      </c>
      <c r="D194" t="s">
        <v>1295</v>
      </c>
      <c r="E194" s="2">
        <v>95119</v>
      </c>
      <c r="F194" s="2">
        <v>90559</v>
      </c>
      <c r="G194" s="2">
        <v>774000</v>
      </c>
      <c r="H194" s="2">
        <v>774000</v>
      </c>
    </row>
    <row r="195" spans="1:8">
      <c r="A195" t="s">
        <v>907</v>
      </c>
      <c r="B195" t="s">
        <v>263</v>
      </c>
      <c r="C195" s="1" t="s">
        <v>262</v>
      </c>
      <c r="D195" t="s">
        <v>1294</v>
      </c>
      <c r="E195" s="2">
        <v>2705912</v>
      </c>
      <c r="F195" s="2">
        <v>2547252.5</v>
      </c>
      <c r="G195" s="2">
        <v>20745</v>
      </c>
      <c r="H195" s="2">
        <v>20745</v>
      </c>
    </row>
    <row r="196" spans="1:8">
      <c r="A196" t="s">
        <v>908</v>
      </c>
      <c r="B196" t="s">
        <v>444</v>
      </c>
      <c r="C196" s="1" t="s">
        <v>443</v>
      </c>
      <c r="D196" t="s">
        <v>1295</v>
      </c>
      <c r="E196" s="2">
        <v>29411</v>
      </c>
      <c r="F196" s="2">
        <v>29411</v>
      </c>
      <c r="G196" s="2">
        <v>74999.33</v>
      </c>
      <c r="H196" s="2">
        <v>32218.100000000002</v>
      </c>
    </row>
    <row r="197" spans="1:8">
      <c r="A197" t="s">
        <v>909</v>
      </c>
      <c r="B197" t="s">
        <v>489</v>
      </c>
      <c r="C197" s="1" t="s">
        <v>488</v>
      </c>
      <c r="D197" t="s">
        <v>1295</v>
      </c>
      <c r="E197" s="2">
        <v>104225.41999999998</v>
      </c>
      <c r="F197" s="2">
        <v>99665.42</v>
      </c>
      <c r="G197" s="2">
        <v>95119</v>
      </c>
      <c r="H197" s="2">
        <v>90559</v>
      </c>
    </row>
    <row r="198" spans="1:8">
      <c r="A198" t="s">
        <v>910</v>
      </c>
      <c r="B198" t="s">
        <v>505</v>
      </c>
      <c r="C198" s="1" t="s">
        <v>504</v>
      </c>
      <c r="D198" t="s">
        <v>1295</v>
      </c>
      <c r="E198" s="2">
        <v>29788</v>
      </c>
      <c r="F198" s="2">
        <v>29788</v>
      </c>
      <c r="G198" s="2">
        <v>95119</v>
      </c>
      <c r="H198" s="2">
        <v>90559</v>
      </c>
    </row>
    <row r="199" spans="1:8">
      <c r="A199" t="s">
        <v>911</v>
      </c>
      <c r="B199" t="s">
        <v>441</v>
      </c>
      <c r="C199" s="1" t="s">
        <v>440</v>
      </c>
      <c r="D199" t="s">
        <v>1295</v>
      </c>
      <c r="E199" s="2">
        <v>31147.4</v>
      </c>
      <c r="F199" s="2">
        <v>31147.4</v>
      </c>
      <c r="G199" s="2">
        <v>2705925.0900000003</v>
      </c>
      <c r="H199" s="2">
        <v>2192952.59</v>
      </c>
    </row>
    <row r="200" spans="1:8">
      <c r="A200" t="s">
        <v>912</v>
      </c>
      <c r="B200" t="s">
        <v>198</v>
      </c>
      <c r="C200" s="1" t="s">
        <v>197</v>
      </c>
      <c r="D200" t="s">
        <v>1297</v>
      </c>
      <c r="E200" s="2">
        <v>469874.12</v>
      </c>
      <c r="F200" s="2">
        <v>469874.12</v>
      </c>
      <c r="G200" s="2">
        <v>29411</v>
      </c>
      <c r="H200" s="2">
        <v>29411.000000000004</v>
      </c>
    </row>
    <row r="201" spans="1:8">
      <c r="A201" t="s">
        <v>913</v>
      </c>
      <c r="B201" t="s">
        <v>198</v>
      </c>
      <c r="C201" s="1" t="s">
        <v>429</v>
      </c>
      <c r="D201" t="s">
        <v>1295</v>
      </c>
      <c r="E201" s="2">
        <v>78340.420000000013</v>
      </c>
      <c r="F201" s="2">
        <v>73780.42</v>
      </c>
      <c r="G201" s="2">
        <v>104225.42</v>
      </c>
      <c r="H201" s="2">
        <v>99665.42</v>
      </c>
    </row>
    <row r="202" spans="1:8">
      <c r="A202" t="s">
        <v>914</v>
      </c>
      <c r="B202" t="s">
        <v>198</v>
      </c>
      <c r="C202" s="1" t="s">
        <v>428</v>
      </c>
      <c r="D202" t="s">
        <v>1298</v>
      </c>
      <c r="E202" s="2">
        <v>229093.7</v>
      </c>
      <c r="F202" s="2">
        <v>229093.70000000004</v>
      </c>
      <c r="G202" s="2">
        <v>29788</v>
      </c>
      <c r="H202" s="2">
        <v>29788</v>
      </c>
    </row>
    <row r="203" spans="1:8">
      <c r="A203" t="s">
        <v>915</v>
      </c>
      <c r="B203" t="s">
        <v>435</v>
      </c>
      <c r="C203" s="1" t="s">
        <v>434</v>
      </c>
      <c r="D203" t="s">
        <v>1295</v>
      </c>
      <c r="E203" s="2">
        <v>196845.42000000004</v>
      </c>
      <c r="F203" s="2">
        <v>187985.42</v>
      </c>
      <c r="G203" s="2">
        <v>31147.399999999994</v>
      </c>
      <c r="H203" s="2">
        <v>31147.4</v>
      </c>
    </row>
    <row r="204" spans="1:8">
      <c r="A204" t="s">
        <v>916</v>
      </c>
      <c r="B204" t="s">
        <v>397</v>
      </c>
      <c r="C204" s="1" t="s">
        <v>396</v>
      </c>
      <c r="D204" t="s">
        <v>1295</v>
      </c>
      <c r="E204" s="2">
        <v>36338.42</v>
      </c>
      <c r="F204" s="2">
        <v>36338.42</v>
      </c>
      <c r="G204" s="2">
        <v>469874.11999999988</v>
      </c>
      <c r="H204" s="2">
        <v>469874.12</v>
      </c>
    </row>
    <row r="205" spans="1:8">
      <c r="A205" t="s">
        <v>917</v>
      </c>
      <c r="B205" t="s">
        <v>204</v>
      </c>
      <c r="C205" s="1" t="s">
        <v>203</v>
      </c>
      <c r="D205" t="s">
        <v>1297</v>
      </c>
      <c r="E205" s="2">
        <v>481971.66</v>
      </c>
      <c r="F205" s="2">
        <v>481971.66000000003</v>
      </c>
      <c r="G205" s="2">
        <v>78340.42</v>
      </c>
      <c r="H205" s="2">
        <v>73780.42</v>
      </c>
    </row>
    <row r="206" spans="1:8">
      <c r="A206" t="s">
        <v>918</v>
      </c>
      <c r="B206" t="s">
        <v>204</v>
      </c>
      <c r="C206" s="1" t="s">
        <v>513</v>
      </c>
      <c r="D206" t="s">
        <v>1295</v>
      </c>
      <c r="E206" s="2">
        <v>36338.42</v>
      </c>
      <c r="F206" s="2">
        <v>36338.42</v>
      </c>
      <c r="G206" s="2">
        <v>229093.7</v>
      </c>
      <c r="H206" s="2">
        <v>229093.7</v>
      </c>
    </row>
    <row r="207" spans="1:8">
      <c r="A207" t="s">
        <v>919</v>
      </c>
      <c r="B207" t="s">
        <v>204</v>
      </c>
      <c r="C207" s="1" t="s">
        <v>492</v>
      </c>
      <c r="D207" t="s">
        <v>1298</v>
      </c>
      <c r="E207" s="2">
        <v>164859.40000000002</v>
      </c>
      <c r="F207" s="2">
        <v>164859.39999999997</v>
      </c>
      <c r="G207" s="2">
        <v>196845.41999999998</v>
      </c>
      <c r="H207" s="2">
        <v>187985.42</v>
      </c>
    </row>
    <row r="208" spans="1:8">
      <c r="A208" t="s">
        <v>921</v>
      </c>
      <c r="B208" t="s">
        <v>196</v>
      </c>
      <c r="C208" s="1" t="s">
        <v>195</v>
      </c>
      <c r="D208" t="s">
        <v>1297</v>
      </c>
      <c r="E208" s="2">
        <v>515026.95</v>
      </c>
      <c r="F208" s="2">
        <v>515026.95</v>
      </c>
      <c r="G208" s="2">
        <v>481971.65999999992</v>
      </c>
      <c r="H208" s="2">
        <v>481971.66000000003</v>
      </c>
    </row>
    <row r="209" spans="1:8">
      <c r="A209" t="s">
        <v>922</v>
      </c>
      <c r="B209" t="s">
        <v>196</v>
      </c>
      <c r="C209" s="1" t="s">
        <v>496</v>
      </c>
      <c r="D209" t="s">
        <v>1295</v>
      </c>
      <c r="E209" s="2">
        <v>36338.42</v>
      </c>
      <c r="F209" s="2">
        <v>36338.42</v>
      </c>
      <c r="G209" s="2">
        <v>36338.420000000006</v>
      </c>
      <c r="H209" s="2">
        <v>36338.42</v>
      </c>
    </row>
    <row r="210" spans="1:8">
      <c r="A210" t="s">
        <v>923</v>
      </c>
      <c r="B210" t="s">
        <v>474</v>
      </c>
      <c r="C210" s="1" t="s">
        <v>473</v>
      </c>
      <c r="D210" t="s">
        <v>1295</v>
      </c>
      <c r="E210" s="2">
        <v>142175.42000000004</v>
      </c>
      <c r="F210" s="2">
        <v>137615.42000000001</v>
      </c>
      <c r="G210" s="2">
        <v>164859.40000000002</v>
      </c>
      <c r="H210" s="2">
        <v>164859.4</v>
      </c>
    </row>
    <row r="211" spans="1:8">
      <c r="A211" t="s">
        <v>924</v>
      </c>
      <c r="B211" t="s">
        <v>202</v>
      </c>
      <c r="C211" s="1" t="s">
        <v>201</v>
      </c>
      <c r="D211" t="s">
        <v>1299</v>
      </c>
      <c r="E211" s="2">
        <v>604956.82999999996</v>
      </c>
      <c r="F211" s="2">
        <v>604956.83000000007</v>
      </c>
      <c r="G211" s="2">
        <v>515026.94999999995</v>
      </c>
      <c r="H211" s="2">
        <v>515026.95</v>
      </c>
    </row>
    <row r="212" spans="1:8">
      <c r="A212" t="s">
        <v>925</v>
      </c>
      <c r="B212" t="s">
        <v>202</v>
      </c>
      <c r="C212" s="1" t="s">
        <v>507</v>
      </c>
      <c r="D212" t="s">
        <v>1295</v>
      </c>
      <c r="E212" s="2">
        <v>36338.42</v>
      </c>
      <c r="F212" s="2">
        <v>36338.42</v>
      </c>
      <c r="G212" s="2">
        <v>36338.42</v>
      </c>
      <c r="H212" s="2">
        <v>36338.42</v>
      </c>
    </row>
    <row r="213" spans="1:8">
      <c r="A213" t="s">
        <v>926</v>
      </c>
      <c r="B213" t="s">
        <v>210</v>
      </c>
      <c r="C213" s="1" t="s">
        <v>209</v>
      </c>
      <c r="D213" t="s">
        <v>1299</v>
      </c>
      <c r="E213" s="2">
        <v>557721.81999999995</v>
      </c>
      <c r="F213" s="2">
        <v>557721.82000000007</v>
      </c>
      <c r="G213" s="2">
        <v>142175.41999999998</v>
      </c>
      <c r="H213" s="2">
        <v>137615.42000000001</v>
      </c>
    </row>
    <row r="214" spans="1:8">
      <c r="A214" t="s">
        <v>927</v>
      </c>
      <c r="B214" t="s">
        <v>210</v>
      </c>
      <c r="C214" s="1" t="s">
        <v>632</v>
      </c>
      <c r="D214" t="s">
        <v>1295</v>
      </c>
      <c r="E214" s="2">
        <v>14587.4</v>
      </c>
      <c r="F214" s="2">
        <v>14587.4</v>
      </c>
      <c r="G214" s="2">
        <v>604956.82999999984</v>
      </c>
      <c r="H214" s="2">
        <v>604956.83000000007</v>
      </c>
    </row>
    <row r="215" spans="1:8">
      <c r="A215" t="s">
        <v>928</v>
      </c>
      <c r="B215" t="s">
        <v>386</v>
      </c>
      <c r="C215" s="1" t="s">
        <v>385</v>
      </c>
      <c r="D215" t="s">
        <v>1299</v>
      </c>
      <c r="E215" s="2">
        <v>583740</v>
      </c>
      <c r="F215" s="2">
        <v>583740</v>
      </c>
      <c r="G215" s="2">
        <v>36338.420000000006</v>
      </c>
      <c r="H215" s="2">
        <v>36338.42</v>
      </c>
    </row>
    <row r="216" spans="1:8">
      <c r="A216" t="s">
        <v>929</v>
      </c>
      <c r="B216" t="s">
        <v>386</v>
      </c>
      <c r="C216" s="1" t="s">
        <v>506</v>
      </c>
      <c r="D216" t="s">
        <v>1295</v>
      </c>
      <c r="E216" s="2">
        <v>36338.42</v>
      </c>
      <c r="F216" s="2">
        <v>36338.42</v>
      </c>
      <c r="G216" s="2">
        <v>557721.82000000007</v>
      </c>
      <c r="H216" s="2">
        <v>557721.81999999995</v>
      </c>
    </row>
    <row r="217" spans="1:8">
      <c r="A217" t="s">
        <v>930</v>
      </c>
      <c r="B217" t="s">
        <v>386</v>
      </c>
      <c r="C217" s="1" t="s">
        <v>437</v>
      </c>
      <c r="D217" t="s">
        <v>1298</v>
      </c>
      <c r="E217" s="2">
        <v>117191.00000000001</v>
      </c>
      <c r="F217" s="2">
        <v>117191</v>
      </c>
      <c r="G217" s="2">
        <v>14587.399999999996</v>
      </c>
      <c r="H217" s="2">
        <v>14587.4</v>
      </c>
    </row>
    <row r="218" spans="1:8">
      <c r="A218" t="s">
        <v>931</v>
      </c>
      <c r="B218" t="s">
        <v>366</v>
      </c>
      <c r="C218" s="1" t="s">
        <v>387</v>
      </c>
      <c r="D218" t="s">
        <v>1295</v>
      </c>
      <c r="E218" s="2">
        <v>62892.419999999984</v>
      </c>
      <c r="F218" s="2">
        <v>58332.42</v>
      </c>
      <c r="G218" s="2">
        <v>583740</v>
      </c>
      <c r="H218" s="2">
        <v>583740</v>
      </c>
    </row>
    <row r="219" spans="1:8">
      <c r="A219" t="s">
        <v>932</v>
      </c>
      <c r="B219" t="s">
        <v>366</v>
      </c>
      <c r="C219" s="1" t="s">
        <v>365</v>
      </c>
      <c r="D219" t="s">
        <v>1298</v>
      </c>
      <c r="E219" s="2">
        <v>298446</v>
      </c>
      <c r="F219" s="2">
        <v>298446</v>
      </c>
      <c r="G219" s="2">
        <v>36338.420000000006</v>
      </c>
      <c r="H219" s="2">
        <v>36338.42</v>
      </c>
    </row>
    <row r="220" spans="1:8">
      <c r="A220" t="s">
        <v>937</v>
      </c>
      <c r="B220" t="s">
        <v>194</v>
      </c>
      <c r="C220" s="1" t="s">
        <v>193</v>
      </c>
      <c r="D220" t="s">
        <v>1299</v>
      </c>
      <c r="E220" s="2">
        <v>594602.98</v>
      </c>
      <c r="F220" s="2">
        <v>594602.98</v>
      </c>
      <c r="G220" s="2">
        <v>183565.37</v>
      </c>
      <c r="H220" s="2">
        <v>183565.36999999997</v>
      </c>
    </row>
    <row r="221" spans="1:8">
      <c r="A221" t="s">
        <v>938</v>
      </c>
      <c r="B221" t="s">
        <v>472</v>
      </c>
      <c r="C221" s="1" t="s">
        <v>471</v>
      </c>
      <c r="D221" t="s">
        <v>1299</v>
      </c>
      <c r="E221" s="2">
        <v>183565.36999999997</v>
      </c>
      <c r="F221" s="2">
        <v>183565.36999999997</v>
      </c>
      <c r="G221" s="2">
        <v>167471.70000000001</v>
      </c>
      <c r="H221" s="2">
        <v>167471.69999999998</v>
      </c>
    </row>
    <row r="222" spans="1:8">
      <c r="A222" t="s">
        <v>939</v>
      </c>
      <c r="B222" t="s">
        <v>503</v>
      </c>
      <c r="C222" s="1" t="s">
        <v>502</v>
      </c>
      <c r="D222" t="s">
        <v>1299</v>
      </c>
      <c r="E222" s="2">
        <v>167471.70000000001</v>
      </c>
      <c r="F222" s="2">
        <v>167471.69999999998</v>
      </c>
      <c r="G222" s="2">
        <v>76017</v>
      </c>
      <c r="H222" s="2">
        <v>76017</v>
      </c>
    </row>
    <row r="223" spans="1:8">
      <c r="A223" t="s">
        <v>940</v>
      </c>
      <c r="B223" t="s">
        <v>457</v>
      </c>
      <c r="C223" s="1" t="s">
        <v>456</v>
      </c>
      <c r="D223" t="s">
        <v>1299</v>
      </c>
      <c r="E223" s="2">
        <v>76017</v>
      </c>
      <c r="F223" s="2">
        <v>76017</v>
      </c>
      <c r="G223" s="2">
        <v>165614.97</v>
      </c>
      <c r="H223" s="2">
        <v>165614.97</v>
      </c>
    </row>
    <row r="224" spans="1:8">
      <c r="A224" t="s">
        <v>941</v>
      </c>
      <c r="B224" t="s">
        <v>200</v>
      </c>
      <c r="C224" s="1" t="s">
        <v>199</v>
      </c>
      <c r="D224" t="s">
        <v>1297</v>
      </c>
      <c r="E224" s="2">
        <v>165614.97</v>
      </c>
      <c r="F224" s="2">
        <v>165614.97</v>
      </c>
      <c r="G224" s="2">
        <v>40115</v>
      </c>
      <c r="H224" s="2">
        <v>1897.8</v>
      </c>
    </row>
    <row r="225" spans="1:8">
      <c r="A225" t="s">
        <v>942</v>
      </c>
      <c r="B225" t="s">
        <v>241</v>
      </c>
      <c r="C225" s="1" t="s">
        <v>240</v>
      </c>
      <c r="D225" t="s">
        <v>1307</v>
      </c>
      <c r="E225" s="2">
        <v>1855912.1400000001</v>
      </c>
      <c r="F225" s="2">
        <v>1842018.1400000001</v>
      </c>
      <c r="G225" s="2">
        <v>59927</v>
      </c>
      <c r="H225" s="2">
        <v>26476.45</v>
      </c>
    </row>
    <row r="226" spans="1:8">
      <c r="A226" t="s">
        <v>943</v>
      </c>
      <c r="B226" t="s">
        <v>241</v>
      </c>
      <c r="C226" s="1" t="s">
        <v>528</v>
      </c>
      <c r="D226" t="s">
        <v>1307</v>
      </c>
      <c r="E226" s="2">
        <v>53273.01</v>
      </c>
      <c r="F226" s="2">
        <v>49395.94999999999</v>
      </c>
      <c r="G226" s="2">
        <v>3119698.59</v>
      </c>
      <c r="H226" s="2">
        <v>935732.59</v>
      </c>
    </row>
    <row r="227" spans="1:8">
      <c r="A227" t="s">
        <v>944</v>
      </c>
      <c r="B227" t="s">
        <v>241</v>
      </c>
      <c r="C227" s="1" t="s">
        <v>500</v>
      </c>
      <c r="D227" t="s">
        <v>1307</v>
      </c>
      <c r="E227" s="2">
        <v>67593.7</v>
      </c>
      <c r="F227" s="2">
        <v>50182.2</v>
      </c>
      <c r="G227" s="2">
        <v>795520.6</v>
      </c>
      <c r="H227" s="2">
        <v>46617.510000000009</v>
      </c>
    </row>
    <row r="228" spans="1:8">
      <c r="A228" t="s">
        <v>945</v>
      </c>
      <c r="B228" t="s">
        <v>251</v>
      </c>
      <c r="C228" s="1" t="s">
        <v>250</v>
      </c>
      <c r="D228" t="s">
        <v>1150</v>
      </c>
      <c r="E228" s="2">
        <v>1045346.15</v>
      </c>
      <c r="F228" s="2">
        <v>1045346.15</v>
      </c>
      <c r="G228" s="2">
        <v>76547</v>
      </c>
      <c r="H228" s="2">
        <v>20497</v>
      </c>
    </row>
    <row r="229" spans="1:8">
      <c r="A229" t="s">
        <v>946</v>
      </c>
      <c r="B229" t="s">
        <v>5</v>
      </c>
      <c r="C229" s="1" t="s">
        <v>4</v>
      </c>
      <c r="D229" t="s">
        <v>1151</v>
      </c>
      <c r="E229" s="2">
        <v>573931.85</v>
      </c>
      <c r="F229" s="2">
        <v>257499.86</v>
      </c>
      <c r="G229" s="2">
        <v>52737</v>
      </c>
      <c r="H229" s="2">
        <v>4747.6499999999996</v>
      </c>
    </row>
    <row r="230" spans="1:8">
      <c r="A230" t="s">
        <v>947</v>
      </c>
      <c r="B230" t="s">
        <v>47</v>
      </c>
      <c r="C230" s="1" t="s">
        <v>46</v>
      </c>
      <c r="D230" t="s">
        <v>1152</v>
      </c>
      <c r="E230" s="2">
        <v>1213342.5</v>
      </c>
      <c r="F230" s="2">
        <v>1213342.5</v>
      </c>
      <c r="G230" s="2">
        <v>1234236.1599999999</v>
      </c>
      <c r="H230" s="2">
        <v>540867.22</v>
      </c>
    </row>
    <row r="231" spans="1:8">
      <c r="A231" t="s">
        <v>948</v>
      </c>
      <c r="B231" t="s">
        <v>56</v>
      </c>
      <c r="C231" s="1" t="s">
        <v>55</v>
      </c>
      <c r="D231" t="s">
        <v>1153</v>
      </c>
      <c r="E231" s="2">
        <v>634978</v>
      </c>
      <c r="F231" s="2">
        <v>630851.99999999988</v>
      </c>
      <c r="G231" s="2">
        <v>12158.520000000019</v>
      </c>
      <c r="H231" s="2">
        <v>12158.52</v>
      </c>
    </row>
    <row r="232" spans="1:8">
      <c r="A232" t="s">
        <v>949</v>
      </c>
      <c r="B232" t="s">
        <v>35</v>
      </c>
      <c r="C232" s="1" t="s">
        <v>34</v>
      </c>
      <c r="D232" t="s">
        <v>1154</v>
      </c>
      <c r="E232" s="2">
        <v>1624485</v>
      </c>
      <c r="F232" s="2">
        <v>125581.99999999991</v>
      </c>
      <c r="G232" s="2">
        <v>1853643.1400000001</v>
      </c>
      <c r="H232" s="2">
        <v>1842018.1400000001</v>
      </c>
    </row>
    <row r="233" spans="1:8">
      <c r="A233" t="s">
        <v>950</v>
      </c>
      <c r="B233" t="s">
        <v>518</v>
      </c>
      <c r="C233" s="1" t="s">
        <v>519</v>
      </c>
      <c r="D233" t="s">
        <v>1440</v>
      </c>
      <c r="E233" s="2">
        <v>124280.86</v>
      </c>
      <c r="F233" s="2">
        <v>124280.85999999997</v>
      </c>
      <c r="G233" s="2">
        <v>53273.01</v>
      </c>
      <c r="H233" s="2">
        <v>20116.510000000002</v>
      </c>
    </row>
    <row r="234" spans="1:8">
      <c r="A234" t="s">
        <v>951</v>
      </c>
      <c r="B234" t="s">
        <v>518</v>
      </c>
      <c r="C234" s="1" t="s">
        <v>517</v>
      </c>
      <c r="D234" t="s">
        <v>1440</v>
      </c>
      <c r="E234" s="2">
        <v>268512.08000000013</v>
      </c>
      <c r="F234" s="2">
        <v>268512.08</v>
      </c>
      <c r="G234" s="2">
        <v>61942.09</v>
      </c>
      <c r="H234" s="2">
        <v>48984.6</v>
      </c>
    </row>
    <row r="235" spans="1:8">
      <c r="A235" t="s">
        <v>952</v>
      </c>
      <c r="B235" t="s">
        <v>11</v>
      </c>
      <c r="C235" s="1" t="s">
        <v>10</v>
      </c>
      <c r="D235" t="s">
        <v>1263</v>
      </c>
      <c r="E235" s="2">
        <v>1503357.39</v>
      </c>
      <c r="F235" s="2">
        <v>892207.49000000011</v>
      </c>
      <c r="G235" s="2">
        <v>56387.729999999996</v>
      </c>
      <c r="H235" s="2">
        <v>38007.61</v>
      </c>
    </row>
    <row r="236" spans="1:8">
      <c r="A236" t="s">
        <v>954</v>
      </c>
      <c r="B236" t="s">
        <v>1</v>
      </c>
      <c r="C236" s="1" t="s">
        <v>0</v>
      </c>
      <c r="D236" t="s">
        <v>1315</v>
      </c>
      <c r="E236" s="2">
        <v>2729465.0899999994</v>
      </c>
      <c r="F236" s="2">
        <v>2362426.3800000004</v>
      </c>
      <c r="G236" s="2">
        <v>1165522.8299999998</v>
      </c>
      <c r="H236" s="2">
        <v>1080507.45</v>
      </c>
    </row>
    <row r="237" spans="1:8">
      <c r="A237" t="s">
        <v>955</v>
      </c>
      <c r="B237" t="s">
        <v>233</v>
      </c>
      <c r="C237" s="1" t="s">
        <v>232</v>
      </c>
      <c r="D237" t="s">
        <v>1339</v>
      </c>
      <c r="E237" s="2">
        <v>21074</v>
      </c>
      <c r="F237" s="2">
        <v>21074</v>
      </c>
      <c r="G237" s="2">
        <v>50730.000000000007</v>
      </c>
      <c r="H237" s="2">
        <v>50730.000000000007</v>
      </c>
    </row>
    <row r="238" spans="1:8">
      <c r="A238" t="s">
        <v>956</v>
      </c>
      <c r="B238" t="s">
        <v>233</v>
      </c>
      <c r="C238" s="1" t="s">
        <v>236</v>
      </c>
      <c r="D238" t="s">
        <v>1339</v>
      </c>
      <c r="E238" s="2">
        <v>58551.999999999985</v>
      </c>
      <c r="F238" s="2">
        <v>58552</v>
      </c>
      <c r="G238" s="2">
        <v>446504.82</v>
      </c>
      <c r="H238" s="2">
        <v>446504.82</v>
      </c>
    </row>
    <row r="239" spans="1:8">
      <c r="A239" t="s">
        <v>957</v>
      </c>
      <c r="B239" t="s">
        <v>233</v>
      </c>
      <c r="C239" s="1" t="s">
        <v>696</v>
      </c>
      <c r="D239" t="s">
        <v>1339</v>
      </c>
      <c r="E239" s="2">
        <v>9243</v>
      </c>
      <c r="F239" s="2">
        <v>9243</v>
      </c>
      <c r="G239" s="2">
        <v>243563.64</v>
      </c>
      <c r="H239" s="2">
        <v>215940.2</v>
      </c>
    </row>
    <row r="240" spans="1:8">
      <c r="A240" t="s">
        <v>958</v>
      </c>
      <c r="B240" t="s">
        <v>233</v>
      </c>
      <c r="C240" s="1" t="s">
        <v>235</v>
      </c>
      <c r="D240" t="s">
        <v>1339</v>
      </c>
      <c r="E240" s="2">
        <v>3650</v>
      </c>
      <c r="F240" s="2">
        <v>3650</v>
      </c>
      <c r="G240" s="2">
        <v>50730.000000000007</v>
      </c>
      <c r="H240" s="2">
        <v>50730</v>
      </c>
    </row>
    <row r="241" spans="1:8">
      <c r="A241" t="s">
        <v>961</v>
      </c>
      <c r="B241" t="s">
        <v>665</v>
      </c>
      <c r="C241" s="1" t="s">
        <v>664</v>
      </c>
      <c r="D241" t="s">
        <v>1441</v>
      </c>
      <c r="E241" s="2">
        <v>43930.329999999994</v>
      </c>
      <c r="F241" s="2">
        <v>43930.33</v>
      </c>
      <c r="G241" s="2">
        <v>9435</v>
      </c>
      <c r="H241" s="2">
        <v>9435</v>
      </c>
    </row>
    <row r="242" spans="1:8">
      <c r="A242" t="s">
        <v>962</v>
      </c>
      <c r="B242" t="s">
        <v>665</v>
      </c>
      <c r="C242" s="1" t="s">
        <v>680</v>
      </c>
      <c r="D242" t="s">
        <v>1441</v>
      </c>
      <c r="E242" s="2">
        <v>383917</v>
      </c>
      <c r="F242" s="2">
        <v>383917</v>
      </c>
      <c r="G242" s="2">
        <v>98973.88</v>
      </c>
      <c r="H242" s="2">
        <v>98973.88</v>
      </c>
    </row>
    <row r="243" spans="1:8">
      <c r="A243" t="s">
        <v>963</v>
      </c>
      <c r="B243" t="s">
        <v>208</v>
      </c>
      <c r="C243" s="1" t="s">
        <v>207</v>
      </c>
      <c r="D243" t="s">
        <v>1442</v>
      </c>
      <c r="E243" s="2">
        <v>1484129.25</v>
      </c>
      <c r="F243" s="2">
        <v>1425820.3399999999</v>
      </c>
      <c r="G243" s="2">
        <v>189015.67</v>
      </c>
      <c r="H243" s="2">
        <v>20590</v>
      </c>
    </row>
    <row r="244" spans="1:8">
      <c r="A244" t="s">
        <v>964</v>
      </c>
      <c r="B244" t="s">
        <v>208</v>
      </c>
      <c r="C244" s="1" t="s">
        <v>487</v>
      </c>
      <c r="D244" t="s">
        <v>1442</v>
      </c>
      <c r="E244" s="2">
        <v>234441.00000000003</v>
      </c>
      <c r="F244" s="2">
        <v>230925</v>
      </c>
      <c r="G244" s="2">
        <v>998300.69</v>
      </c>
      <c r="H244" s="2">
        <v>905323.45</v>
      </c>
    </row>
    <row r="245" spans="1:8">
      <c r="A245" t="s">
        <v>965</v>
      </c>
      <c r="B245" t="s">
        <v>208</v>
      </c>
      <c r="C245" s="1" t="s">
        <v>512</v>
      </c>
      <c r="D245" t="s">
        <v>1442</v>
      </c>
      <c r="E245" s="2">
        <v>83458</v>
      </c>
      <c r="F245" s="2">
        <v>83458.000000000015</v>
      </c>
      <c r="G245" s="2">
        <v>68306.3</v>
      </c>
      <c r="H245" s="2">
        <v>10000</v>
      </c>
    </row>
    <row r="246" spans="1:8">
      <c r="A246" t="s">
        <v>966</v>
      </c>
      <c r="B246" t="s">
        <v>208</v>
      </c>
      <c r="C246" s="1" t="s">
        <v>693</v>
      </c>
      <c r="D246" t="s">
        <v>1442</v>
      </c>
      <c r="E246" s="2">
        <v>8600</v>
      </c>
      <c r="F246" s="2">
        <v>8600</v>
      </c>
      <c r="G246" s="2">
        <v>27829.82</v>
      </c>
      <c r="H246" s="2">
        <v>27829.82</v>
      </c>
    </row>
    <row r="247" spans="1:8">
      <c r="A247" t="s">
        <v>967</v>
      </c>
      <c r="B247" t="s">
        <v>208</v>
      </c>
      <c r="C247" s="1" t="s">
        <v>616</v>
      </c>
      <c r="D247" t="s">
        <v>1442</v>
      </c>
      <c r="E247" s="2">
        <v>31343</v>
      </c>
      <c r="F247" s="2">
        <v>0</v>
      </c>
      <c r="G247" s="2">
        <v>171435.45</v>
      </c>
      <c r="H247" s="2">
        <v>17868.59</v>
      </c>
    </row>
    <row r="248" spans="1:8">
      <c r="A248" t="s">
        <v>968</v>
      </c>
      <c r="B248" t="s">
        <v>314</v>
      </c>
      <c r="C248" s="1" t="s">
        <v>318</v>
      </c>
      <c r="D248" t="s">
        <v>1372</v>
      </c>
      <c r="E248" s="2">
        <v>248877.99999999988</v>
      </c>
      <c r="F248" s="2">
        <v>248878</v>
      </c>
      <c r="G248" s="2">
        <v>124484.10999999999</v>
      </c>
      <c r="H248" s="2">
        <v>120049.51</v>
      </c>
    </row>
    <row r="249" spans="1:8">
      <c r="A249" t="s">
        <v>969</v>
      </c>
      <c r="B249" t="s">
        <v>314</v>
      </c>
      <c r="C249" s="1" t="s">
        <v>313</v>
      </c>
      <c r="D249" t="s">
        <v>1372</v>
      </c>
      <c r="E249" s="2">
        <v>1517911.0000000002</v>
      </c>
      <c r="F249" s="2">
        <v>1517911.0000000002</v>
      </c>
      <c r="G249" s="2">
        <v>108656.35</v>
      </c>
      <c r="H249" s="2">
        <v>108656.35</v>
      </c>
    </row>
    <row r="250" spans="1:8">
      <c r="A250" t="s">
        <v>970</v>
      </c>
      <c r="B250" t="s">
        <v>244</v>
      </c>
      <c r="C250" s="1" t="s">
        <v>349</v>
      </c>
      <c r="D250" t="s">
        <v>1373</v>
      </c>
      <c r="E250" s="2">
        <v>23019.999999999996</v>
      </c>
      <c r="F250" s="2">
        <v>23020</v>
      </c>
      <c r="G250" s="2">
        <v>58372.37000000001</v>
      </c>
      <c r="H250" s="2">
        <v>58372.369999999995</v>
      </c>
    </row>
    <row r="251" spans="1:8">
      <c r="A251" t="s">
        <v>971</v>
      </c>
      <c r="B251" t="s">
        <v>244</v>
      </c>
      <c r="C251" s="1" t="s">
        <v>337</v>
      </c>
      <c r="D251" t="s">
        <v>1373</v>
      </c>
      <c r="E251" s="2">
        <v>222273.00000000003</v>
      </c>
      <c r="F251" s="2">
        <v>222273</v>
      </c>
      <c r="G251" s="2">
        <v>750722.64999999991</v>
      </c>
      <c r="H251" s="2">
        <v>750722.64999999991</v>
      </c>
    </row>
    <row r="252" spans="1:8">
      <c r="A252" t="s">
        <v>972</v>
      </c>
      <c r="B252" t="s">
        <v>244</v>
      </c>
      <c r="C252" s="1" t="s">
        <v>243</v>
      </c>
      <c r="D252" t="s">
        <v>1373</v>
      </c>
      <c r="E252" s="2">
        <v>269732</v>
      </c>
      <c r="F252" s="2">
        <v>261694.63</v>
      </c>
      <c r="G252" s="2">
        <v>37077.370000000003</v>
      </c>
      <c r="H252" s="2">
        <v>37077.370000000003</v>
      </c>
    </row>
    <row r="253" spans="1:8">
      <c r="A253" t="s">
        <v>973</v>
      </c>
      <c r="B253" t="s">
        <v>244</v>
      </c>
      <c r="C253" s="1" t="s">
        <v>334</v>
      </c>
      <c r="D253" t="s">
        <v>1373</v>
      </c>
      <c r="E253" s="2">
        <v>96686</v>
      </c>
      <c r="F253" s="2">
        <v>96686</v>
      </c>
      <c r="G253" s="2">
        <v>140267.37000000005</v>
      </c>
      <c r="H253" s="2">
        <v>140267.37</v>
      </c>
    </row>
    <row r="254" spans="1:8">
      <c r="A254" t="s">
        <v>974</v>
      </c>
      <c r="B254" t="s">
        <v>244</v>
      </c>
      <c r="C254" s="1" t="s">
        <v>643</v>
      </c>
      <c r="D254" t="s">
        <v>1373</v>
      </c>
      <c r="E254" s="2">
        <v>25100</v>
      </c>
      <c r="F254" s="2">
        <v>25100</v>
      </c>
      <c r="G254" s="2">
        <v>686760.3899999999</v>
      </c>
      <c r="H254" s="2">
        <v>686760.3899999999</v>
      </c>
    </row>
    <row r="255" spans="1:8">
      <c r="A255" t="s">
        <v>975</v>
      </c>
      <c r="B255" t="s">
        <v>563</v>
      </c>
      <c r="C255" s="1" t="s">
        <v>697</v>
      </c>
      <c r="D255" t="s">
        <v>1374</v>
      </c>
      <c r="E255" s="2">
        <v>76035</v>
      </c>
      <c r="F255" s="2">
        <v>76035</v>
      </c>
      <c r="G255" s="2">
        <v>9435</v>
      </c>
      <c r="H255" s="2">
        <v>9435</v>
      </c>
    </row>
    <row r="256" spans="1:8">
      <c r="A256" t="s">
        <v>976</v>
      </c>
      <c r="B256" t="s">
        <v>563</v>
      </c>
      <c r="C256" s="1" t="s">
        <v>690</v>
      </c>
      <c r="D256" t="s">
        <v>1374</v>
      </c>
      <c r="E256" s="2">
        <v>6700</v>
      </c>
      <c r="F256" s="2">
        <v>6700</v>
      </c>
      <c r="G256" s="2">
        <v>268791.1700000001</v>
      </c>
      <c r="H256" s="2">
        <v>268791.17000000004</v>
      </c>
    </row>
    <row r="257" spans="1:8">
      <c r="A257" t="s">
        <v>977</v>
      </c>
      <c r="B257" t="s">
        <v>563</v>
      </c>
      <c r="C257" s="1" t="s">
        <v>562</v>
      </c>
      <c r="D257" t="s">
        <v>1374</v>
      </c>
      <c r="E257" s="2">
        <v>31342</v>
      </c>
      <c r="F257" s="2">
        <v>-1.8189894035458565E-12</v>
      </c>
      <c r="G257" s="2">
        <v>132120.1</v>
      </c>
      <c r="H257" s="2">
        <v>132120.1</v>
      </c>
    </row>
    <row r="258" spans="1:8">
      <c r="A258" t="s">
        <v>978</v>
      </c>
      <c r="B258" t="s">
        <v>105</v>
      </c>
      <c r="C258" s="1" t="s">
        <v>332</v>
      </c>
      <c r="D258" t="s">
        <v>1375</v>
      </c>
      <c r="E258" s="2">
        <v>25800.000000000004</v>
      </c>
      <c r="F258" s="2">
        <v>23987.55</v>
      </c>
      <c r="G258" s="2">
        <v>859589.01000000013</v>
      </c>
      <c r="H258" s="2">
        <v>859589.00999999989</v>
      </c>
    </row>
    <row r="259" spans="1:8">
      <c r="A259" t="s">
        <v>979</v>
      </c>
      <c r="B259" t="s">
        <v>105</v>
      </c>
      <c r="C259" s="1" t="s">
        <v>104</v>
      </c>
      <c r="D259" t="s">
        <v>1375</v>
      </c>
      <c r="E259" s="2">
        <v>376551</v>
      </c>
      <c r="F259" s="2">
        <v>376551</v>
      </c>
      <c r="G259" s="2">
        <v>57404.33</v>
      </c>
      <c r="H259" s="2">
        <v>57404.33</v>
      </c>
    </row>
    <row r="260" spans="1:8">
      <c r="A260" t="s">
        <v>980</v>
      </c>
      <c r="B260" t="s">
        <v>105</v>
      </c>
      <c r="C260" s="1" t="s">
        <v>642</v>
      </c>
      <c r="D260" t="s">
        <v>1375</v>
      </c>
      <c r="E260" s="2">
        <v>12150</v>
      </c>
      <c r="F260" s="2">
        <v>12150</v>
      </c>
      <c r="G260" s="2">
        <v>104529.86</v>
      </c>
      <c r="H260" s="2">
        <v>104529.86</v>
      </c>
    </row>
    <row r="261" spans="1:8">
      <c r="A261" t="s">
        <v>981</v>
      </c>
      <c r="B261" t="s">
        <v>135</v>
      </c>
      <c r="C261" s="1" t="s">
        <v>245</v>
      </c>
      <c r="D261" t="s">
        <v>1376</v>
      </c>
      <c r="E261" s="2">
        <v>257350.00000000006</v>
      </c>
      <c r="F261" s="2">
        <v>257350.00000000003</v>
      </c>
      <c r="G261" s="2">
        <v>12970</v>
      </c>
      <c r="H261" s="2">
        <v>12970</v>
      </c>
    </row>
    <row r="262" spans="1:8">
      <c r="A262" t="s">
        <v>982</v>
      </c>
      <c r="B262" t="s">
        <v>135</v>
      </c>
      <c r="C262" s="1" t="s">
        <v>139</v>
      </c>
      <c r="D262" t="s">
        <v>1376</v>
      </c>
      <c r="E262" s="2">
        <v>587130</v>
      </c>
      <c r="F262" s="2">
        <v>587130</v>
      </c>
      <c r="G262" s="2">
        <v>94000</v>
      </c>
      <c r="H262" s="2">
        <v>94000</v>
      </c>
    </row>
    <row r="263" spans="1:8">
      <c r="A263" t="s">
        <v>983</v>
      </c>
      <c r="B263" t="s">
        <v>135</v>
      </c>
      <c r="C263" s="1" t="s">
        <v>247</v>
      </c>
      <c r="D263" t="s">
        <v>1376</v>
      </c>
      <c r="E263" s="2">
        <v>331010</v>
      </c>
      <c r="F263" s="2">
        <v>331010</v>
      </c>
      <c r="G263" s="2">
        <v>186240</v>
      </c>
      <c r="H263" s="2">
        <v>116240</v>
      </c>
    </row>
    <row r="264" spans="1:8">
      <c r="A264" t="s">
        <v>984</v>
      </c>
      <c r="B264" t="s">
        <v>135</v>
      </c>
      <c r="C264" s="1" t="s">
        <v>134</v>
      </c>
      <c r="D264" t="s">
        <v>1376</v>
      </c>
      <c r="E264" s="2">
        <v>327428</v>
      </c>
      <c r="F264" s="2">
        <v>327428</v>
      </c>
      <c r="G264" s="2">
        <v>404692</v>
      </c>
      <c r="H264" s="2">
        <v>0</v>
      </c>
    </row>
    <row r="265" spans="1:8">
      <c r="A265" t="s">
        <v>985</v>
      </c>
      <c r="B265" t="s">
        <v>135</v>
      </c>
      <c r="C265" s="1" t="s">
        <v>628</v>
      </c>
      <c r="D265" t="s">
        <v>1376</v>
      </c>
      <c r="E265" s="2">
        <v>48600</v>
      </c>
      <c r="F265" s="2">
        <v>48600</v>
      </c>
      <c r="G265" s="2">
        <v>26554</v>
      </c>
      <c r="H265" s="2">
        <v>0</v>
      </c>
    </row>
    <row r="266" spans="1:8">
      <c r="A266" t="s">
        <v>986</v>
      </c>
      <c r="B266" t="s">
        <v>660</v>
      </c>
      <c r="C266" s="1" t="s">
        <v>661</v>
      </c>
      <c r="D266" t="s">
        <v>1443</v>
      </c>
      <c r="E266" s="2">
        <v>67243.140000000029</v>
      </c>
      <c r="F266" s="2">
        <v>67243.14</v>
      </c>
      <c r="G266" s="2">
        <v>2235395.0699999998</v>
      </c>
      <c r="H266" s="2">
        <v>0</v>
      </c>
    </row>
    <row r="267" spans="1:8">
      <c r="A267" t="s">
        <v>987</v>
      </c>
      <c r="B267" t="s">
        <v>660</v>
      </c>
      <c r="C267" s="1" t="s">
        <v>662</v>
      </c>
      <c r="D267" t="s">
        <v>1443</v>
      </c>
      <c r="E267" s="2">
        <v>217046.72</v>
      </c>
      <c r="F267" s="2">
        <v>217046.72000000003</v>
      </c>
      <c r="G267" s="2">
        <v>1478757.6399999997</v>
      </c>
      <c r="H267" s="2">
        <v>1107608.1600000001</v>
      </c>
    </row>
    <row r="268" spans="1:8">
      <c r="A268" t="s">
        <v>988</v>
      </c>
      <c r="B268" t="s">
        <v>660</v>
      </c>
      <c r="C268" s="1" t="s">
        <v>659</v>
      </c>
      <c r="D268" t="s">
        <v>1443</v>
      </c>
      <c r="E268" s="2">
        <v>428074.20999999996</v>
      </c>
      <c r="F268" s="2">
        <v>428074.21</v>
      </c>
      <c r="G268" s="2">
        <v>72836.150000000009</v>
      </c>
      <c r="H268" s="2">
        <v>63985.15</v>
      </c>
    </row>
    <row r="269" spans="1:8">
      <c r="A269" t="s">
        <v>989</v>
      </c>
      <c r="B269" t="s">
        <v>231</v>
      </c>
      <c r="C269" s="1" t="s">
        <v>239</v>
      </c>
      <c r="D269" t="s">
        <v>1380</v>
      </c>
      <c r="E269" s="2">
        <v>71768</v>
      </c>
      <c r="F269" s="2">
        <v>71768</v>
      </c>
      <c r="G269" s="2">
        <v>110739.69</v>
      </c>
      <c r="H269" s="2">
        <v>99394.69</v>
      </c>
    </row>
    <row r="270" spans="1:8">
      <c r="A270" t="s">
        <v>990</v>
      </c>
      <c r="B270" t="s">
        <v>231</v>
      </c>
      <c r="C270" s="1" t="s">
        <v>230</v>
      </c>
      <c r="D270" t="s">
        <v>1380</v>
      </c>
      <c r="E270" s="2">
        <v>191496.00000000006</v>
      </c>
      <c r="F270" s="2">
        <v>191496</v>
      </c>
      <c r="G270" s="2">
        <v>129750.08000000002</v>
      </c>
      <c r="H270" s="2">
        <v>119035.08</v>
      </c>
    </row>
    <row r="271" spans="1:8">
      <c r="A271" t="s">
        <v>991</v>
      </c>
      <c r="B271" t="s">
        <v>231</v>
      </c>
      <c r="C271" s="1" t="s">
        <v>234</v>
      </c>
      <c r="D271" t="s">
        <v>1380</v>
      </c>
      <c r="E271" s="2">
        <v>134886</v>
      </c>
      <c r="F271" s="2">
        <v>134886</v>
      </c>
      <c r="G271" s="2">
        <v>21074</v>
      </c>
      <c r="H271" s="2">
        <v>21074</v>
      </c>
    </row>
    <row r="272" spans="1:8">
      <c r="A272" t="s">
        <v>992</v>
      </c>
      <c r="B272" t="s">
        <v>231</v>
      </c>
      <c r="C272" s="1" t="s">
        <v>238</v>
      </c>
      <c r="D272" t="s">
        <v>1380</v>
      </c>
      <c r="E272" s="2">
        <v>282776</v>
      </c>
      <c r="F272" s="2">
        <v>282776</v>
      </c>
      <c r="G272" s="2">
        <v>58552</v>
      </c>
      <c r="H272" s="2">
        <v>58552</v>
      </c>
    </row>
    <row r="273" spans="1:8">
      <c r="A273" t="s">
        <v>993</v>
      </c>
      <c r="B273" t="s">
        <v>231</v>
      </c>
      <c r="C273" s="1" t="s">
        <v>237</v>
      </c>
      <c r="D273" t="s">
        <v>1380</v>
      </c>
      <c r="E273" s="2">
        <v>22950</v>
      </c>
      <c r="F273" s="2">
        <v>22950</v>
      </c>
      <c r="G273" s="2">
        <v>9243</v>
      </c>
      <c r="H273" s="2">
        <v>9243</v>
      </c>
    </row>
    <row r="274" spans="1:8">
      <c r="A274" t="s">
        <v>994</v>
      </c>
      <c r="B274" t="s">
        <v>83</v>
      </c>
      <c r="C274" s="1" t="s">
        <v>253</v>
      </c>
      <c r="D274" t="s">
        <v>1381</v>
      </c>
      <c r="E274" s="2">
        <v>46559</v>
      </c>
      <c r="F274" s="2">
        <v>46371.71</v>
      </c>
      <c r="G274" s="2">
        <v>3650</v>
      </c>
      <c r="H274" s="2">
        <v>3650</v>
      </c>
    </row>
    <row r="275" spans="1:8">
      <c r="A275" t="s">
        <v>995</v>
      </c>
      <c r="B275" t="s">
        <v>83</v>
      </c>
      <c r="C275" s="1" t="s">
        <v>82</v>
      </c>
      <c r="D275" t="s">
        <v>1381</v>
      </c>
      <c r="E275" s="2">
        <v>601731</v>
      </c>
      <c r="F275" s="2">
        <v>601731</v>
      </c>
      <c r="G275" s="2">
        <v>899348.57000000007</v>
      </c>
      <c r="H275" s="2">
        <v>899348.57</v>
      </c>
    </row>
    <row r="276" spans="1:8">
      <c r="A276" t="s">
        <v>996</v>
      </c>
      <c r="B276" t="s">
        <v>83</v>
      </c>
      <c r="C276" s="1" t="s">
        <v>144</v>
      </c>
      <c r="D276" t="s">
        <v>1381</v>
      </c>
      <c r="E276" s="2">
        <v>659190</v>
      </c>
      <c r="F276" s="2">
        <v>659190</v>
      </c>
      <c r="G276" s="2">
        <v>37436.120000000003</v>
      </c>
      <c r="H276" s="2">
        <v>37436.120000000003</v>
      </c>
    </row>
    <row r="277" spans="1:8">
      <c r="A277" t="s">
        <v>997</v>
      </c>
      <c r="B277" t="s">
        <v>83</v>
      </c>
      <c r="C277" s="1" t="s">
        <v>639</v>
      </c>
      <c r="D277" t="s">
        <v>1381</v>
      </c>
      <c r="E277" s="2">
        <v>35200</v>
      </c>
      <c r="F277" s="2">
        <v>35200</v>
      </c>
      <c r="G277" s="2">
        <v>2506581.58</v>
      </c>
      <c r="H277" s="2">
        <v>2418574.3200000003</v>
      </c>
    </row>
    <row r="278" spans="1:8">
      <c r="A278" t="s">
        <v>998</v>
      </c>
      <c r="B278" t="s">
        <v>83</v>
      </c>
      <c r="C278" s="1" t="s">
        <v>1444</v>
      </c>
      <c r="D278" t="s">
        <v>1381</v>
      </c>
      <c r="E278" s="2">
        <v>51799.55</v>
      </c>
      <c r="F278" s="2"/>
      <c r="G278" s="2">
        <v>44837.38</v>
      </c>
      <c r="H278" s="2">
        <v>44837.38</v>
      </c>
    </row>
    <row r="279" spans="1:8">
      <c r="A279" t="s">
        <v>999</v>
      </c>
      <c r="B279" t="s">
        <v>339</v>
      </c>
      <c r="C279" s="1" t="s">
        <v>338</v>
      </c>
      <c r="D279" t="s">
        <v>1376</v>
      </c>
      <c r="E279" s="2">
        <v>438739.99999999994</v>
      </c>
      <c r="F279" s="2">
        <v>438740</v>
      </c>
      <c r="G279" s="2">
        <v>102080.88</v>
      </c>
      <c r="H279" s="2">
        <v>0</v>
      </c>
    </row>
    <row r="280" spans="1:8">
      <c r="A280" t="s">
        <v>1000</v>
      </c>
      <c r="B280" t="s">
        <v>339</v>
      </c>
      <c r="C280" s="1" t="s">
        <v>344</v>
      </c>
      <c r="D280" t="s">
        <v>1376</v>
      </c>
      <c r="E280" s="2">
        <v>13430.000000000002</v>
      </c>
      <c r="F280" s="2">
        <v>13430</v>
      </c>
      <c r="G280" s="2">
        <v>35269.170000000006</v>
      </c>
      <c r="H280" s="2">
        <v>35269.17</v>
      </c>
    </row>
    <row r="281" spans="1:8">
      <c r="A281" t="s">
        <v>1001</v>
      </c>
      <c r="B281" t="s">
        <v>348</v>
      </c>
      <c r="C281" s="1" t="s">
        <v>347</v>
      </c>
      <c r="D281" t="s">
        <v>1376</v>
      </c>
      <c r="E281" s="2">
        <v>57660</v>
      </c>
      <c r="F281" s="2">
        <v>57660</v>
      </c>
      <c r="G281" s="2">
        <v>20.49</v>
      </c>
      <c r="H281" s="2">
        <v>20.49</v>
      </c>
    </row>
    <row r="282" spans="1:8">
      <c r="A282" t="s">
        <v>1002</v>
      </c>
      <c r="B282" t="s">
        <v>343</v>
      </c>
      <c r="C282" s="1" t="s">
        <v>342</v>
      </c>
      <c r="D282" t="s">
        <v>1376</v>
      </c>
      <c r="E282" s="2">
        <v>16475</v>
      </c>
      <c r="F282" s="2">
        <v>16475</v>
      </c>
      <c r="G282" s="2">
        <v>3742800.2800000017</v>
      </c>
      <c r="H282" s="2">
        <v>3728029.2800000007</v>
      </c>
    </row>
    <row r="283" spans="1:8">
      <c r="A283" t="s">
        <v>1003</v>
      </c>
      <c r="B283" t="s">
        <v>119</v>
      </c>
      <c r="C283" s="1" t="s">
        <v>246</v>
      </c>
      <c r="D283" t="s">
        <v>1386</v>
      </c>
      <c r="E283" s="2">
        <v>152855</v>
      </c>
      <c r="F283" s="2">
        <v>152855</v>
      </c>
      <c r="G283" s="2">
        <v>2110154.5799999996</v>
      </c>
      <c r="H283" s="2">
        <v>2110154.58</v>
      </c>
    </row>
    <row r="284" spans="1:8">
      <c r="A284" t="s">
        <v>1004</v>
      </c>
      <c r="B284" t="s">
        <v>119</v>
      </c>
      <c r="C284" s="1" t="s">
        <v>333</v>
      </c>
      <c r="D284" t="s">
        <v>1386</v>
      </c>
      <c r="E284" s="2">
        <v>186702.99999999997</v>
      </c>
      <c r="F284" s="2">
        <v>186282.24000000002</v>
      </c>
      <c r="G284" s="2">
        <v>651096.68999999971</v>
      </c>
      <c r="H284" s="2">
        <v>650718.76</v>
      </c>
    </row>
    <row r="285" spans="1:8">
      <c r="A285" t="s">
        <v>1005</v>
      </c>
      <c r="B285" t="s">
        <v>119</v>
      </c>
      <c r="C285" s="1" t="s">
        <v>118</v>
      </c>
      <c r="D285" t="s">
        <v>1386</v>
      </c>
      <c r="E285" s="2">
        <v>311428</v>
      </c>
      <c r="F285" s="2">
        <v>311428</v>
      </c>
      <c r="G285" s="2">
        <v>27751.869999999995</v>
      </c>
      <c r="H285" s="2">
        <v>27751.870000000003</v>
      </c>
    </row>
    <row r="286" spans="1:8">
      <c r="A286" t="s">
        <v>1006</v>
      </c>
      <c r="B286" t="s">
        <v>119</v>
      </c>
      <c r="C286" s="1" t="s">
        <v>640</v>
      </c>
      <c r="D286" t="s">
        <v>1386</v>
      </c>
      <c r="E286" s="2">
        <v>22149.999999999996</v>
      </c>
      <c r="F286" s="2">
        <v>22150</v>
      </c>
      <c r="G286" s="2">
        <v>349294</v>
      </c>
      <c r="H286" s="2">
        <v>118785.90000000001</v>
      </c>
    </row>
    <row r="287" spans="1:8">
      <c r="A287" t="s">
        <v>1007</v>
      </c>
      <c r="B287" t="s">
        <v>161</v>
      </c>
      <c r="C287" s="1" t="s">
        <v>168</v>
      </c>
      <c r="D287" t="s">
        <v>1387</v>
      </c>
      <c r="E287" s="2">
        <v>121488.15</v>
      </c>
      <c r="F287" s="2">
        <v>121488.15</v>
      </c>
      <c r="G287" s="2">
        <v>33287.75</v>
      </c>
      <c r="H287" s="2">
        <v>33287.75</v>
      </c>
    </row>
    <row r="288" spans="1:8">
      <c r="A288" t="s">
        <v>1008</v>
      </c>
      <c r="B288" t="s">
        <v>161</v>
      </c>
      <c r="C288" s="1" t="s">
        <v>160</v>
      </c>
      <c r="D288" t="s">
        <v>1387</v>
      </c>
      <c r="E288" s="2">
        <v>17669.190000000002</v>
      </c>
      <c r="F288" s="2">
        <v>17669.189999999999</v>
      </c>
      <c r="G288" s="2">
        <v>37763.199999999997</v>
      </c>
      <c r="H288" s="2">
        <v>37763.199999999997</v>
      </c>
    </row>
    <row r="289" spans="1:8">
      <c r="A289" t="s">
        <v>1009</v>
      </c>
      <c r="B289" t="s">
        <v>148</v>
      </c>
      <c r="C289" s="1" t="s">
        <v>147</v>
      </c>
      <c r="D289" t="s">
        <v>1387</v>
      </c>
      <c r="E289" s="2">
        <v>115778.33</v>
      </c>
      <c r="F289" s="2">
        <v>115778.33</v>
      </c>
      <c r="G289" s="2">
        <v>50217.590000000004</v>
      </c>
      <c r="H289" s="2">
        <v>45749.08</v>
      </c>
    </row>
    <row r="290" spans="1:8">
      <c r="A290" t="s">
        <v>1010</v>
      </c>
      <c r="B290" t="s">
        <v>148</v>
      </c>
      <c r="C290" s="1" t="s">
        <v>166</v>
      </c>
      <c r="D290" t="s">
        <v>1387</v>
      </c>
      <c r="E290" s="2">
        <v>22751.119999999995</v>
      </c>
      <c r="F290" s="2">
        <v>22751.119999999999</v>
      </c>
      <c r="G290" s="2">
        <v>35597</v>
      </c>
      <c r="H290" s="2">
        <v>35597</v>
      </c>
    </row>
    <row r="291" spans="1:8">
      <c r="A291" t="s">
        <v>1011</v>
      </c>
      <c r="B291" t="s">
        <v>157</v>
      </c>
      <c r="C291" s="1" t="s">
        <v>173</v>
      </c>
      <c r="D291" t="s">
        <v>1387</v>
      </c>
      <c r="E291" s="2">
        <v>45504.12999999999</v>
      </c>
      <c r="F291" s="2">
        <v>45504.130000000005</v>
      </c>
      <c r="G291" s="2">
        <v>28549</v>
      </c>
      <c r="H291" s="2">
        <v>28549</v>
      </c>
    </row>
    <row r="292" spans="1:8">
      <c r="A292" t="s">
        <v>1012</v>
      </c>
      <c r="B292" t="s">
        <v>157</v>
      </c>
      <c r="C292" s="1" t="s">
        <v>156</v>
      </c>
      <c r="D292" t="s">
        <v>1387</v>
      </c>
      <c r="E292" s="2">
        <v>228657.66</v>
      </c>
      <c r="F292" s="2">
        <v>228657.66</v>
      </c>
      <c r="G292" s="2">
        <v>1139993.3900000001</v>
      </c>
      <c r="H292" s="2">
        <v>1032919.2899999999</v>
      </c>
    </row>
    <row r="293" spans="1:8">
      <c r="A293" t="s">
        <v>1013</v>
      </c>
      <c r="B293" t="s">
        <v>146</v>
      </c>
      <c r="C293" s="1" t="s">
        <v>167</v>
      </c>
      <c r="D293" t="s">
        <v>1387</v>
      </c>
      <c r="E293" s="2">
        <v>160486.03999999995</v>
      </c>
      <c r="F293" s="2">
        <v>160486.03999999998</v>
      </c>
      <c r="G293" s="2">
        <v>979859.4</v>
      </c>
      <c r="H293" s="2">
        <v>979842.28000000014</v>
      </c>
    </row>
    <row r="294" spans="1:8">
      <c r="A294" t="s">
        <v>1014</v>
      </c>
      <c r="B294" t="s">
        <v>146</v>
      </c>
      <c r="C294" s="1" t="s">
        <v>145</v>
      </c>
      <c r="D294" t="s">
        <v>1387</v>
      </c>
      <c r="E294" s="2">
        <v>23083.809999999998</v>
      </c>
      <c r="F294" s="2">
        <v>23083.81</v>
      </c>
      <c r="G294" s="2">
        <v>155111.31</v>
      </c>
      <c r="H294" s="2">
        <v>140538.17000000001</v>
      </c>
    </row>
    <row r="295" spans="1:8">
      <c r="A295" t="s">
        <v>1015</v>
      </c>
      <c r="B295" t="s">
        <v>152</v>
      </c>
      <c r="C295" s="1" t="s">
        <v>162</v>
      </c>
      <c r="D295" t="s">
        <v>1387</v>
      </c>
      <c r="E295" s="2">
        <v>119347.82999999999</v>
      </c>
      <c r="F295" s="2">
        <v>119347.83</v>
      </c>
      <c r="G295" s="2">
        <v>789472.88000000012</v>
      </c>
      <c r="H295" s="2">
        <v>501548.35000000009</v>
      </c>
    </row>
    <row r="296" spans="1:8">
      <c r="A296" t="s">
        <v>1016</v>
      </c>
      <c r="B296" t="s">
        <v>152</v>
      </c>
      <c r="C296" s="1" t="s">
        <v>151</v>
      </c>
      <c r="D296" t="s">
        <v>1387</v>
      </c>
      <c r="E296" s="2">
        <v>8915.3500000000022</v>
      </c>
      <c r="F296" s="2">
        <v>8915.35</v>
      </c>
      <c r="G296" s="2">
        <v>312487.19999999995</v>
      </c>
      <c r="H296" s="2">
        <v>312487.2</v>
      </c>
    </row>
    <row r="297" spans="1:8">
      <c r="A297" t="s">
        <v>1017</v>
      </c>
      <c r="B297" t="s">
        <v>159</v>
      </c>
      <c r="C297" s="1" t="s">
        <v>165</v>
      </c>
      <c r="D297" t="s">
        <v>1387</v>
      </c>
      <c r="E297" s="2">
        <v>53629.540000000008</v>
      </c>
      <c r="F297" s="2">
        <v>53629.539999999994</v>
      </c>
      <c r="G297" s="2">
        <v>2634489.62</v>
      </c>
      <c r="H297" s="2">
        <v>1678865.91</v>
      </c>
    </row>
    <row r="298" spans="1:8">
      <c r="A298" t="s">
        <v>1018</v>
      </c>
      <c r="B298" t="s">
        <v>159</v>
      </c>
      <c r="C298" s="1" t="s">
        <v>158</v>
      </c>
      <c r="D298" t="s">
        <v>1387</v>
      </c>
      <c r="E298" s="2">
        <v>327671.13</v>
      </c>
      <c r="F298" s="2">
        <v>327671.13</v>
      </c>
      <c r="G298" s="2">
        <v>36993.15</v>
      </c>
      <c r="H298" s="2">
        <v>36993.15</v>
      </c>
    </row>
    <row r="299" spans="1:8">
      <c r="A299" t="s">
        <v>1019</v>
      </c>
      <c r="B299" t="s">
        <v>154</v>
      </c>
      <c r="C299" s="1" t="s">
        <v>153</v>
      </c>
      <c r="D299" t="s">
        <v>1387</v>
      </c>
      <c r="E299" s="2">
        <v>31261.180000000004</v>
      </c>
      <c r="F299" s="2">
        <v>31261.179999999997</v>
      </c>
      <c r="G299" s="2">
        <v>155949.57</v>
      </c>
      <c r="H299" s="2">
        <v>155949.57</v>
      </c>
    </row>
    <row r="300" spans="1:8">
      <c r="A300" t="s">
        <v>1020</v>
      </c>
      <c r="B300" t="s">
        <v>154</v>
      </c>
      <c r="C300" s="1" t="s">
        <v>155</v>
      </c>
      <c r="D300" t="s">
        <v>1387</v>
      </c>
      <c r="E300" s="2">
        <v>172244.42999999996</v>
      </c>
      <c r="F300" s="2">
        <v>172244.43</v>
      </c>
      <c r="G300" s="2">
        <v>51981</v>
      </c>
      <c r="H300" s="2">
        <v>51981</v>
      </c>
    </row>
    <row r="301" spans="1:8">
      <c r="A301" t="s">
        <v>1021</v>
      </c>
      <c r="B301" t="s">
        <v>123</v>
      </c>
      <c r="C301" s="1" t="s">
        <v>252</v>
      </c>
      <c r="D301" t="s">
        <v>1388</v>
      </c>
      <c r="E301" s="2">
        <v>156707</v>
      </c>
      <c r="F301" s="2">
        <v>156707</v>
      </c>
      <c r="G301" s="2">
        <v>1483092.13</v>
      </c>
      <c r="H301" s="2">
        <v>1407104.5600000003</v>
      </c>
    </row>
    <row r="302" spans="1:8">
      <c r="A302" t="s">
        <v>1022</v>
      </c>
      <c r="B302" t="s">
        <v>123</v>
      </c>
      <c r="C302" s="1" t="s">
        <v>122</v>
      </c>
      <c r="D302" t="s">
        <v>1388</v>
      </c>
      <c r="E302" s="2">
        <v>607397.00000000012</v>
      </c>
      <c r="F302" s="2">
        <v>607397</v>
      </c>
      <c r="G302" s="2">
        <v>378209</v>
      </c>
      <c r="H302" s="2">
        <v>341814.11</v>
      </c>
    </row>
    <row r="303" spans="1:8">
      <c r="A303" t="s">
        <v>1023</v>
      </c>
      <c r="B303" t="s">
        <v>123</v>
      </c>
      <c r="C303" s="1" t="s">
        <v>641</v>
      </c>
      <c r="D303" t="s">
        <v>1388</v>
      </c>
      <c r="E303" s="2">
        <v>37050</v>
      </c>
      <c r="F303" s="2">
        <v>37050</v>
      </c>
      <c r="G303" s="2">
        <v>11004.1</v>
      </c>
      <c r="H303" s="2">
        <v>11004.1</v>
      </c>
    </row>
    <row r="304" spans="1:8">
      <c r="A304" t="s">
        <v>1024</v>
      </c>
      <c r="B304" t="s">
        <v>346</v>
      </c>
      <c r="C304" s="1" t="s">
        <v>345</v>
      </c>
      <c r="D304" t="s">
        <v>1389</v>
      </c>
      <c r="E304" s="2">
        <v>68390</v>
      </c>
      <c r="F304" s="2">
        <v>68389.999999999985</v>
      </c>
      <c r="G304" s="2">
        <v>276539.25</v>
      </c>
      <c r="H304" s="2">
        <v>276539.25</v>
      </c>
    </row>
    <row r="305" spans="1:8">
      <c r="A305" t="s">
        <v>1025</v>
      </c>
      <c r="B305" t="s">
        <v>346</v>
      </c>
      <c r="C305" s="1" t="s">
        <v>352</v>
      </c>
      <c r="D305" t="s">
        <v>1389</v>
      </c>
      <c r="E305" s="2">
        <v>11880</v>
      </c>
      <c r="F305" s="2">
        <v>11880</v>
      </c>
      <c r="G305" s="2">
        <v>67618</v>
      </c>
      <c r="H305" s="2">
        <v>38803.699999999997</v>
      </c>
    </row>
    <row r="306" spans="1:8">
      <c r="A306" t="s">
        <v>1026</v>
      </c>
      <c r="B306" t="s">
        <v>637</v>
      </c>
      <c r="C306" s="1" t="s">
        <v>636</v>
      </c>
      <c r="D306" t="s">
        <v>1390</v>
      </c>
      <c r="E306" s="2">
        <v>170454.97999999998</v>
      </c>
      <c r="F306" s="2">
        <v>17631.28</v>
      </c>
      <c r="G306" s="2">
        <v>7744</v>
      </c>
      <c r="H306" s="2">
        <v>7744</v>
      </c>
    </row>
    <row r="307" spans="1:8">
      <c r="A307" t="s">
        <v>1027</v>
      </c>
      <c r="B307" t="s">
        <v>261</v>
      </c>
      <c r="C307" s="1" t="s">
        <v>260</v>
      </c>
      <c r="D307" t="s">
        <v>1179</v>
      </c>
      <c r="E307" s="2">
        <v>1420896.01</v>
      </c>
      <c r="F307" s="2">
        <v>629212.03999999992</v>
      </c>
      <c r="G307" s="2">
        <v>212199.28000000003</v>
      </c>
      <c r="H307" s="2">
        <v>212199.27999999997</v>
      </c>
    </row>
    <row r="308" spans="1:8">
      <c r="A308" t="s">
        <v>1028</v>
      </c>
      <c r="B308" t="s">
        <v>524</v>
      </c>
      <c r="C308" s="1" t="s">
        <v>523</v>
      </c>
      <c r="D308" t="s">
        <v>1180</v>
      </c>
      <c r="E308" s="2">
        <v>81245.490000000005</v>
      </c>
      <c r="F308" s="2">
        <v>81245.490000000005</v>
      </c>
      <c r="G308" s="2">
        <v>36993.15</v>
      </c>
      <c r="H308" s="2">
        <v>36993.15</v>
      </c>
    </row>
    <row r="309" spans="1:8">
      <c r="A309" t="s">
        <v>1029</v>
      </c>
      <c r="B309" t="s">
        <v>675</v>
      </c>
      <c r="C309" s="1" t="s">
        <v>674</v>
      </c>
      <c r="D309" t="s">
        <v>1445</v>
      </c>
      <c r="E309" s="2">
        <v>203859</v>
      </c>
      <c r="F309" s="2">
        <v>203859</v>
      </c>
      <c r="G309" s="2">
        <v>50715.909999999996</v>
      </c>
      <c r="H309" s="2">
        <v>46247.4</v>
      </c>
    </row>
    <row r="310" spans="1:8">
      <c r="A310" t="s">
        <v>1030</v>
      </c>
      <c r="B310" t="s">
        <v>125</v>
      </c>
      <c r="C310" s="1" t="s">
        <v>124</v>
      </c>
      <c r="D310" t="s">
        <v>1446</v>
      </c>
      <c r="E310" s="2">
        <v>477394.11999999982</v>
      </c>
      <c r="F310" s="2">
        <v>477394.12000000005</v>
      </c>
      <c r="G310" s="2">
        <v>87130.240000000005</v>
      </c>
      <c r="H310" s="2">
        <v>70526.66</v>
      </c>
    </row>
    <row r="311" spans="1:8">
      <c r="A311" t="s">
        <v>1031</v>
      </c>
      <c r="B311" t="s">
        <v>125</v>
      </c>
      <c r="C311" s="1" t="s">
        <v>1447</v>
      </c>
      <c r="D311" t="s">
        <v>1184</v>
      </c>
      <c r="E311" s="2">
        <v>883809.57</v>
      </c>
      <c r="F311" s="2">
        <v>883809.57000000007</v>
      </c>
      <c r="G311" s="2">
        <v>47500</v>
      </c>
      <c r="H311" s="2">
        <v>47500</v>
      </c>
    </row>
    <row r="312" spans="1:8">
      <c r="A312" t="s">
        <v>1032</v>
      </c>
      <c r="B312" t="s">
        <v>81</v>
      </c>
      <c r="C312" s="1" t="s">
        <v>80</v>
      </c>
      <c r="D312" t="s">
        <v>1448</v>
      </c>
      <c r="E312" s="2">
        <v>562601.30000000005</v>
      </c>
      <c r="F312" s="2">
        <v>562601.30000000016</v>
      </c>
      <c r="G312" s="2">
        <v>2467500.0000000019</v>
      </c>
      <c r="H312" s="2">
        <v>2200979.5500000003</v>
      </c>
    </row>
    <row r="313" spans="1:8">
      <c r="A313" t="s">
        <v>1033</v>
      </c>
      <c r="B313" t="s">
        <v>699</v>
      </c>
      <c r="C313" s="1" t="s">
        <v>698</v>
      </c>
      <c r="D313" t="s">
        <v>1184</v>
      </c>
      <c r="E313" s="2">
        <v>729819.60000000009</v>
      </c>
      <c r="F313" s="2">
        <v>729819.6</v>
      </c>
      <c r="G313" s="2">
        <v>179346.97999999998</v>
      </c>
      <c r="H313" s="2">
        <v>5247.54</v>
      </c>
    </row>
    <row r="314" spans="1:8">
      <c r="A314" t="s">
        <v>1034</v>
      </c>
      <c r="B314" t="s">
        <v>133</v>
      </c>
      <c r="C314" s="1" t="s">
        <v>132</v>
      </c>
      <c r="D314" t="s">
        <v>1184</v>
      </c>
      <c r="E314" s="2">
        <v>1583243.38</v>
      </c>
      <c r="F314" s="2">
        <v>1583243.3800000001</v>
      </c>
      <c r="G314" s="2">
        <v>86908.35000000002</v>
      </c>
      <c r="H314" s="2">
        <v>76959</v>
      </c>
    </row>
    <row r="315" spans="1:8">
      <c r="A315" t="s">
        <v>1035</v>
      </c>
      <c r="B315" t="s">
        <v>107</v>
      </c>
      <c r="C315" s="1" t="s">
        <v>106</v>
      </c>
      <c r="D315" t="s">
        <v>1448</v>
      </c>
      <c r="E315" s="2">
        <v>1854415.73</v>
      </c>
      <c r="F315" s="2">
        <v>1854415.73</v>
      </c>
      <c r="G315" s="2">
        <v>2036731.1600000001</v>
      </c>
      <c r="H315" s="2">
        <v>2006483.0799999998</v>
      </c>
    </row>
    <row r="316" spans="1:8">
      <c r="A316" t="s">
        <v>1036</v>
      </c>
      <c r="B316" t="s">
        <v>137</v>
      </c>
      <c r="C316" s="1" t="s">
        <v>136</v>
      </c>
      <c r="D316" t="s">
        <v>1184</v>
      </c>
      <c r="E316" s="2">
        <v>506399.42000000004</v>
      </c>
      <c r="F316" s="2">
        <v>506399.42</v>
      </c>
      <c r="G316" s="2">
        <v>57086.61</v>
      </c>
      <c r="H316" s="2">
        <v>39028.61</v>
      </c>
    </row>
    <row r="317" spans="1:8">
      <c r="A317" t="s">
        <v>1037</v>
      </c>
      <c r="B317" t="s">
        <v>141</v>
      </c>
      <c r="C317" s="1" t="s">
        <v>140</v>
      </c>
      <c r="D317" t="s">
        <v>1449</v>
      </c>
      <c r="E317" s="2">
        <v>400035.5</v>
      </c>
      <c r="F317" s="2">
        <v>400035.5</v>
      </c>
      <c r="G317" s="2">
        <v>69086.610000000015</v>
      </c>
      <c r="H317" s="2">
        <v>63469.66</v>
      </c>
    </row>
    <row r="318" spans="1:8">
      <c r="A318" t="s">
        <v>1038</v>
      </c>
      <c r="B318" t="s">
        <v>100</v>
      </c>
      <c r="C318" s="1" t="s">
        <v>99</v>
      </c>
      <c r="D318" t="s">
        <v>1445</v>
      </c>
      <c r="E318" s="2">
        <v>521926.97</v>
      </c>
      <c r="F318" s="2">
        <v>521926.97</v>
      </c>
      <c r="G318" s="2">
        <v>691756.23999999976</v>
      </c>
      <c r="H318" s="2">
        <v>691756.24000000011</v>
      </c>
    </row>
    <row r="319" spans="1:8">
      <c r="A319" t="s">
        <v>1039</v>
      </c>
      <c r="B319" t="s">
        <v>100</v>
      </c>
      <c r="C319" s="1" t="s">
        <v>1450</v>
      </c>
      <c r="D319" t="s">
        <v>1451</v>
      </c>
      <c r="E319" s="2">
        <v>725717.29999999981</v>
      </c>
      <c r="F319" s="2">
        <v>725717.29999999981</v>
      </c>
      <c r="G319" s="2">
        <v>155715.64000000001</v>
      </c>
      <c r="H319" s="2">
        <v>26921.88</v>
      </c>
    </row>
    <row r="320" spans="1:8">
      <c r="A320" t="s">
        <v>1040</v>
      </c>
      <c r="B320" t="s">
        <v>677</v>
      </c>
      <c r="C320" s="1" t="s">
        <v>676</v>
      </c>
      <c r="D320" t="s">
        <v>1445</v>
      </c>
      <c r="E320" s="2">
        <v>286062</v>
      </c>
      <c r="F320" s="2">
        <v>286062</v>
      </c>
      <c r="G320" s="2">
        <v>57818.580000000009</v>
      </c>
      <c r="H320" s="2">
        <v>17655.75</v>
      </c>
    </row>
    <row r="321" spans="1:8">
      <c r="A321" t="s">
        <v>1041</v>
      </c>
      <c r="B321" t="s">
        <v>143</v>
      </c>
      <c r="C321" s="1" t="s">
        <v>142</v>
      </c>
      <c r="D321" t="s">
        <v>1191</v>
      </c>
      <c r="E321" s="2">
        <v>2226853.5299999989</v>
      </c>
      <c r="F321" s="2">
        <v>2226853.5300000003</v>
      </c>
      <c r="G321" s="2">
        <v>52577</v>
      </c>
      <c r="H321" s="2">
        <v>11626.67</v>
      </c>
    </row>
    <row r="322" spans="1:8">
      <c r="A322" t="s">
        <v>1042</v>
      </c>
      <c r="B322" t="s">
        <v>679</v>
      </c>
      <c r="C322" s="1" t="s">
        <v>678</v>
      </c>
      <c r="D322" t="s">
        <v>1445</v>
      </c>
      <c r="E322" s="2">
        <v>248029</v>
      </c>
      <c r="F322" s="2">
        <v>248029</v>
      </c>
      <c r="G322" s="2">
        <v>49471</v>
      </c>
      <c r="H322" s="2">
        <v>17825.150000000001</v>
      </c>
    </row>
    <row r="323" spans="1:8">
      <c r="A323" t="s">
        <v>1043</v>
      </c>
      <c r="B323" t="s">
        <v>480</v>
      </c>
      <c r="C323" s="1" t="s">
        <v>479</v>
      </c>
      <c r="D323" t="s">
        <v>1448</v>
      </c>
      <c r="E323" s="2">
        <v>92968.56</v>
      </c>
      <c r="F323" s="2">
        <v>92968.559999999983</v>
      </c>
      <c r="G323" s="2">
        <v>43930.329999999994</v>
      </c>
      <c r="H323" s="2">
        <v>43930.33</v>
      </c>
    </row>
    <row r="324" spans="1:8">
      <c r="A324" t="s">
        <v>1044</v>
      </c>
      <c r="B324" t="s">
        <v>102</v>
      </c>
      <c r="C324" s="1" t="s">
        <v>101</v>
      </c>
      <c r="D324" t="s">
        <v>1449</v>
      </c>
      <c r="E324" s="2">
        <v>602758.79</v>
      </c>
      <c r="F324" s="2">
        <v>602758.78999999992</v>
      </c>
      <c r="G324" s="2">
        <v>383917</v>
      </c>
      <c r="H324" s="2">
        <v>383917</v>
      </c>
    </row>
    <row r="325" spans="1:8">
      <c r="A325" t="s">
        <v>1045</v>
      </c>
      <c r="B325" t="s">
        <v>102</v>
      </c>
      <c r="C325" s="1" t="s">
        <v>1452</v>
      </c>
      <c r="D325" t="s">
        <v>1451</v>
      </c>
      <c r="E325" s="2">
        <v>408787.47000000003</v>
      </c>
      <c r="F325" s="2">
        <v>408787.47000000009</v>
      </c>
      <c r="G325" s="2">
        <v>1484129.25</v>
      </c>
      <c r="H325" s="2">
        <v>1254283.5999999999</v>
      </c>
    </row>
    <row r="326" spans="1:8">
      <c r="A326" t="s">
        <v>1046</v>
      </c>
      <c r="B326" t="s">
        <v>93</v>
      </c>
      <c r="C326" s="1" t="s">
        <v>92</v>
      </c>
      <c r="D326" t="s">
        <v>1449</v>
      </c>
      <c r="E326" s="2">
        <v>322613.74000000005</v>
      </c>
      <c r="F326" s="2">
        <v>322613.74000000005</v>
      </c>
      <c r="G326" s="2">
        <v>234441</v>
      </c>
      <c r="H326" s="2">
        <v>223891</v>
      </c>
    </row>
    <row r="327" spans="1:8">
      <c r="A327" t="s">
        <v>1047</v>
      </c>
      <c r="B327" t="s">
        <v>695</v>
      </c>
      <c r="C327" s="1" t="s">
        <v>694</v>
      </c>
      <c r="D327" t="s">
        <v>1306</v>
      </c>
      <c r="E327" s="2">
        <v>12158.520000000019</v>
      </c>
      <c r="F327" s="2">
        <v>12158.52</v>
      </c>
      <c r="G327" s="2">
        <v>83458</v>
      </c>
      <c r="H327" s="2">
        <v>83458.000000000015</v>
      </c>
    </row>
    <row r="328" spans="1:8">
      <c r="A328" t="s">
        <v>1048</v>
      </c>
      <c r="B328" t="s">
        <v>433</v>
      </c>
      <c r="C328" s="1" t="s">
        <v>432</v>
      </c>
      <c r="D328" t="s">
        <v>1364</v>
      </c>
      <c r="E328" s="2">
        <v>691756.24</v>
      </c>
      <c r="F328" s="2">
        <v>691756.24000000011</v>
      </c>
      <c r="G328" s="2">
        <v>8600</v>
      </c>
      <c r="H328" s="2">
        <v>8600</v>
      </c>
    </row>
    <row r="329" spans="1:8">
      <c r="A329" t="s">
        <v>1049</v>
      </c>
      <c r="B329" t="s">
        <v>545</v>
      </c>
      <c r="C329" s="1" t="s">
        <v>544</v>
      </c>
      <c r="D329" t="s">
        <v>1158</v>
      </c>
      <c r="E329" s="2">
        <v>1000</v>
      </c>
      <c r="F329" s="2">
        <v>1000</v>
      </c>
      <c r="G329" s="2">
        <v>31343</v>
      </c>
      <c r="H329" s="2">
        <v>0</v>
      </c>
    </row>
    <row r="330" spans="1:8">
      <c r="A330" t="s">
        <v>1050</v>
      </c>
      <c r="B330" t="s">
        <v>657</v>
      </c>
      <c r="C330" s="1" t="s">
        <v>656</v>
      </c>
      <c r="D330" t="s">
        <v>1159</v>
      </c>
      <c r="E330" s="2">
        <v>7983.58</v>
      </c>
      <c r="F330" s="2">
        <v>7983.58</v>
      </c>
      <c r="G330" s="2">
        <v>248877.99999999988</v>
      </c>
      <c r="H330" s="2">
        <v>248763.7</v>
      </c>
    </row>
    <row r="331" spans="1:8">
      <c r="A331" t="s">
        <v>1051</v>
      </c>
      <c r="B331" t="s">
        <v>600</v>
      </c>
      <c r="C331" s="1" t="s">
        <v>599</v>
      </c>
      <c r="D331" t="s">
        <v>1160</v>
      </c>
      <c r="E331" s="2">
        <v>1000</v>
      </c>
      <c r="F331" s="2">
        <v>1000</v>
      </c>
      <c r="G331" s="2">
        <v>1517911</v>
      </c>
      <c r="H331" s="2">
        <v>1515463.6799999999</v>
      </c>
    </row>
    <row r="332" spans="1:8">
      <c r="A332" t="s">
        <v>1052</v>
      </c>
      <c r="B332" t="s">
        <v>591</v>
      </c>
      <c r="C332" s="1" t="s">
        <v>590</v>
      </c>
      <c r="D332" t="s">
        <v>1161</v>
      </c>
      <c r="E332" s="2">
        <v>5500</v>
      </c>
      <c r="F332" s="2">
        <v>5500</v>
      </c>
      <c r="G332" s="2">
        <v>23019.999999999996</v>
      </c>
      <c r="H332" s="2">
        <v>23020</v>
      </c>
    </row>
    <row r="333" spans="1:8">
      <c r="A333" t="s">
        <v>1053</v>
      </c>
      <c r="B333" t="s">
        <v>602</v>
      </c>
      <c r="C333" s="1" t="s">
        <v>601</v>
      </c>
      <c r="D333" t="s">
        <v>1162</v>
      </c>
      <c r="E333" s="2">
        <v>2000</v>
      </c>
      <c r="F333" s="2">
        <v>2000</v>
      </c>
      <c r="G333" s="2">
        <v>222273.00000000006</v>
      </c>
      <c r="H333" s="2">
        <v>222273</v>
      </c>
    </row>
    <row r="334" spans="1:8">
      <c r="A334" t="s">
        <v>1054</v>
      </c>
      <c r="B334" t="s">
        <v>541</v>
      </c>
      <c r="C334" s="1" t="s">
        <v>540</v>
      </c>
      <c r="D334" t="s">
        <v>1163</v>
      </c>
      <c r="E334" s="2">
        <v>1500</v>
      </c>
      <c r="F334" s="2">
        <v>1500</v>
      </c>
      <c r="G334" s="2">
        <v>269732</v>
      </c>
      <c r="H334" s="2">
        <v>255098</v>
      </c>
    </row>
    <row r="335" spans="1:8">
      <c r="A335" t="s">
        <v>1055</v>
      </c>
      <c r="B335" t="s">
        <v>613</v>
      </c>
      <c r="C335" s="1" t="s">
        <v>612</v>
      </c>
      <c r="D335" t="s">
        <v>1164</v>
      </c>
      <c r="E335" s="2">
        <v>1000</v>
      </c>
      <c r="F335" s="2"/>
      <c r="G335" s="2">
        <v>96686</v>
      </c>
      <c r="H335" s="2">
        <v>96685.999999999985</v>
      </c>
    </row>
    <row r="336" spans="1:8">
      <c r="A336" t="s">
        <v>1056</v>
      </c>
      <c r="B336" t="s">
        <v>87</v>
      </c>
      <c r="C336" s="1" t="s">
        <v>86</v>
      </c>
      <c r="D336" t="s">
        <v>1165</v>
      </c>
      <c r="E336" s="2">
        <v>999.99999999999989</v>
      </c>
      <c r="F336" s="2">
        <v>1000</v>
      </c>
      <c r="G336" s="2">
        <v>25100</v>
      </c>
      <c r="H336" s="2">
        <v>25100</v>
      </c>
    </row>
    <row r="337" spans="1:8">
      <c r="A337" t="s">
        <v>1057</v>
      </c>
      <c r="B337" t="s">
        <v>574</v>
      </c>
      <c r="C337" s="1" t="s">
        <v>573</v>
      </c>
      <c r="D337" t="s">
        <v>1166</v>
      </c>
      <c r="E337" s="2">
        <v>900</v>
      </c>
      <c r="F337" s="2">
        <v>900</v>
      </c>
      <c r="G337" s="2">
        <v>76035</v>
      </c>
      <c r="H337" s="2">
        <v>76035</v>
      </c>
    </row>
    <row r="338" spans="1:8">
      <c r="A338" t="s">
        <v>1058</v>
      </c>
      <c r="B338" t="s">
        <v>217</v>
      </c>
      <c r="C338" s="1" t="s">
        <v>216</v>
      </c>
      <c r="D338" t="s">
        <v>1167</v>
      </c>
      <c r="E338" s="2">
        <v>974043.06000000017</v>
      </c>
      <c r="F338" s="2">
        <v>935610.4600000002</v>
      </c>
      <c r="G338" s="2">
        <v>6700</v>
      </c>
      <c r="H338" s="2">
        <v>6700</v>
      </c>
    </row>
    <row r="339" spans="1:8">
      <c r="A339" t="s">
        <v>1059</v>
      </c>
      <c r="B339" t="s">
        <v>217</v>
      </c>
      <c r="C339" s="1" t="s">
        <v>598</v>
      </c>
      <c r="D339" t="s">
        <v>1168</v>
      </c>
      <c r="E339" s="2">
        <v>1500</v>
      </c>
      <c r="F339" s="2">
        <v>925</v>
      </c>
      <c r="G339" s="2">
        <v>31342</v>
      </c>
      <c r="H339" s="2">
        <v>0</v>
      </c>
    </row>
    <row r="340" spans="1:8">
      <c r="A340" t="s">
        <v>1060</v>
      </c>
      <c r="B340" t="s">
        <v>217</v>
      </c>
      <c r="C340" s="1" t="s">
        <v>1453</v>
      </c>
      <c r="D340" t="s">
        <v>1168</v>
      </c>
      <c r="E340" s="2">
        <v>205431</v>
      </c>
      <c r="F340" s="2"/>
      <c r="G340" s="2">
        <v>25800</v>
      </c>
      <c r="H340" s="2">
        <v>22500</v>
      </c>
    </row>
    <row r="341" spans="1:8">
      <c r="A341" t="s">
        <v>1061</v>
      </c>
      <c r="B341" t="s">
        <v>41</v>
      </c>
      <c r="C341" s="1" t="s">
        <v>40</v>
      </c>
      <c r="D341" t="s">
        <v>1169</v>
      </c>
      <c r="E341" s="2">
        <v>34530</v>
      </c>
      <c r="F341" s="2">
        <v>34529.840000000004</v>
      </c>
      <c r="G341" s="2">
        <v>376551</v>
      </c>
      <c r="H341" s="2">
        <v>376551</v>
      </c>
    </row>
    <row r="342" spans="1:8">
      <c r="A342" t="s">
        <v>1063</v>
      </c>
      <c r="B342" t="s">
        <v>561</v>
      </c>
      <c r="C342" s="1" t="s">
        <v>681</v>
      </c>
      <c r="D342" t="s">
        <v>1454</v>
      </c>
      <c r="E342" s="2">
        <v>15146</v>
      </c>
      <c r="F342" s="2">
        <v>15146</v>
      </c>
      <c r="G342" s="2">
        <v>257350</v>
      </c>
      <c r="H342" s="2">
        <v>257350</v>
      </c>
    </row>
    <row r="343" spans="1:8">
      <c r="A343" t="s">
        <v>1064</v>
      </c>
      <c r="B343" t="s">
        <v>561</v>
      </c>
      <c r="C343" s="1" t="s">
        <v>683</v>
      </c>
      <c r="D343" t="s">
        <v>1455</v>
      </c>
      <c r="E343" s="2">
        <v>15146</v>
      </c>
      <c r="F343" s="2">
        <v>15146</v>
      </c>
      <c r="G343" s="2">
        <v>587130</v>
      </c>
      <c r="H343" s="2">
        <v>587130</v>
      </c>
    </row>
    <row r="344" spans="1:8">
      <c r="A344" t="s">
        <v>1065</v>
      </c>
      <c r="B344" t="s">
        <v>561</v>
      </c>
      <c r="C344" s="1" t="s">
        <v>682</v>
      </c>
      <c r="D344" t="s">
        <v>1456</v>
      </c>
      <c r="E344" s="2">
        <v>25261</v>
      </c>
      <c r="F344" s="2">
        <v>25261</v>
      </c>
      <c r="G344" s="2">
        <v>331010</v>
      </c>
      <c r="H344" s="2">
        <v>331010</v>
      </c>
    </row>
    <row r="345" spans="1:8">
      <c r="A345" t="s">
        <v>1066</v>
      </c>
      <c r="B345" t="s">
        <v>561</v>
      </c>
      <c r="C345" s="1" t="s">
        <v>684</v>
      </c>
      <c r="D345" t="s">
        <v>1457</v>
      </c>
      <c r="E345" s="2">
        <v>25150</v>
      </c>
      <c r="F345" s="2">
        <v>25150</v>
      </c>
      <c r="G345" s="2">
        <v>327428.00000000006</v>
      </c>
      <c r="H345" s="2">
        <v>327428</v>
      </c>
    </row>
    <row r="346" spans="1:8">
      <c r="A346" t="s">
        <v>1067</v>
      </c>
      <c r="B346" t="s">
        <v>561</v>
      </c>
      <c r="C346" s="1" t="s">
        <v>658</v>
      </c>
      <c r="D346" t="s">
        <v>1458</v>
      </c>
      <c r="E346" s="2">
        <v>48370</v>
      </c>
      <c r="F346" s="2">
        <v>48370</v>
      </c>
      <c r="G346" s="2">
        <v>48600</v>
      </c>
      <c r="H346" s="2">
        <v>48600</v>
      </c>
    </row>
    <row r="347" spans="1:8">
      <c r="A347" t="s">
        <v>1068</v>
      </c>
      <c r="B347" t="s">
        <v>561</v>
      </c>
      <c r="C347" s="1" t="s">
        <v>663</v>
      </c>
      <c r="D347" t="s">
        <v>1459</v>
      </c>
      <c r="E347" s="2">
        <v>72807.649999999994</v>
      </c>
      <c r="F347" s="2">
        <v>72807.649999999994</v>
      </c>
      <c r="G347" s="2">
        <v>67243.14</v>
      </c>
      <c r="H347" s="2">
        <v>67243.14</v>
      </c>
    </row>
    <row r="348" spans="1:8">
      <c r="A348" t="s">
        <v>1069</v>
      </c>
      <c r="B348" t="s">
        <v>561</v>
      </c>
      <c r="C348" s="1" t="s">
        <v>560</v>
      </c>
      <c r="D348" t="s">
        <v>1454</v>
      </c>
      <c r="E348" s="2">
        <v>2860</v>
      </c>
      <c r="F348" s="2">
        <v>2860</v>
      </c>
      <c r="G348" s="2">
        <v>217046.71999999997</v>
      </c>
      <c r="H348" s="2">
        <v>217046.72000000003</v>
      </c>
    </row>
    <row r="349" spans="1:8">
      <c r="A349" t="s">
        <v>1070</v>
      </c>
      <c r="B349" t="s">
        <v>515</v>
      </c>
      <c r="C349" s="1" t="s">
        <v>514</v>
      </c>
      <c r="D349" t="s">
        <v>1173</v>
      </c>
      <c r="E349" s="2">
        <v>18100</v>
      </c>
      <c r="F349" s="2">
        <v>15369</v>
      </c>
      <c r="G349" s="2">
        <v>428074.20999999996</v>
      </c>
      <c r="H349" s="2">
        <v>428074.21</v>
      </c>
    </row>
    <row r="350" spans="1:8">
      <c r="A350" t="s">
        <v>1071</v>
      </c>
      <c r="B350" t="s">
        <v>400</v>
      </c>
      <c r="C350" s="1" t="s">
        <v>399</v>
      </c>
      <c r="D350" t="s">
        <v>1174</v>
      </c>
      <c r="E350" s="2">
        <v>47150.31</v>
      </c>
      <c r="F350" s="2">
        <v>27375</v>
      </c>
      <c r="G350" s="2">
        <v>71768</v>
      </c>
      <c r="H350" s="2">
        <v>71768</v>
      </c>
    </row>
    <row r="351" spans="1:8">
      <c r="A351" t="s">
        <v>1072</v>
      </c>
      <c r="B351" t="s">
        <v>557</v>
      </c>
      <c r="C351" s="1" t="s">
        <v>556</v>
      </c>
      <c r="D351" t="s">
        <v>1175</v>
      </c>
      <c r="E351" s="2">
        <v>1000</v>
      </c>
      <c r="F351" s="2">
        <v>1000</v>
      </c>
      <c r="G351" s="2">
        <v>191496.00000000003</v>
      </c>
      <c r="H351" s="2">
        <v>191495.99999999997</v>
      </c>
    </row>
    <row r="352" spans="1:8">
      <c r="A352" t="s">
        <v>1073</v>
      </c>
      <c r="B352" t="s">
        <v>511</v>
      </c>
      <c r="C352" s="1" t="s">
        <v>510</v>
      </c>
      <c r="D352" t="s">
        <v>1176</v>
      </c>
      <c r="E352" s="2">
        <v>1870214.0099999995</v>
      </c>
      <c r="F352" s="2">
        <v>1730037.79</v>
      </c>
      <c r="G352" s="2">
        <v>134886</v>
      </c>
      <c r="H352" s="2">
        <v>134886</v>
      </c>
    </row>
    <row r="353" spans="1:8">
      <c r="A353" t="s">
        <v>1074</v>
      </c>
      <c r="B353" t="s">
        <v>551</v>
      </c>
      <c r="C353" s="1" t="s">
        <v>550</v>
      </c>
      <c r="D353" t="s">
        <v>1177</v>
      </c>
      <c r="E353" s="2">
        <v>4535</v>
      </c>
      <c r="F353" s="2">
        <v>4535</v>
      </c>
      <c r="G353" s="2">
        <v>282776</v>
      </c>
      <c r="H353" s="2">
        <v>282776</v>
      </c>
    </row>
    <row r="354" spans="1:8">
      <c r="A354" t="s">
        <v>1075</v>
      </c>
      <c r="B354" t="s">
        <v>424</v>
      </c>
      <c r="C354" s="1" t="s">
        <v>423</v>
      </c>
      <c r="D354" t="s">
        <v>1178</v>
      </c>
      <c r="E354" s="2">
        <v>12970</v>
      </c>
      <c r="F354" s="2">
        <v>3240</v>
      </c>
      <c r="G354" s="2">
        <v>22950</v>
      </c>
      <c r="H354" s="2">
        <v>22950</v>
      </c>
    </row>
    <row r="355" spans="1:8">
      <c r="A355" t="s">
        <v>1076</v>
      </c>
      <c r="B355" t="s">
        <v>21</v>
      </c>
      <c r="C355" s="1" t="s">
        <v>20</v>
      </c>
      <c r="D355" t="s">
        <v>1233</v>
      </c>
      <c r="E355" s="2">
        <v>2040233.66</v>
      </c>
      <c r="F355" s="2">
        <v>1754621.67</v>
      </c>
      <c r="G355" s="2">
        <v>46559</v>
      </c>
      <c r="H355" s="2">
        <v>46218</v>
      </c>
    </row>
    <row r="356" spans="1:8">
      <c r="A356" t="s">
        <v>1077</v>
      </c>
      <c r="B356" t="s">
        <v>620</v>
      </c>
      <c r="C356" s="1" t="s">
        <v>619</v>
      </c>
      <c r="D356" t="s">
        <v>1316</v>
      </c>
      <c r="E356" s="2">
        <v>9435</v>
      </c>
      <c r="F356" s="2">
        <v>9435</v>
      </c>
      <c r="G356" s="2">
        <v>601731</v>
      </c>
      <c r="H356" s="2">
        <v>601731</v>
      </c>
    </row>
    <row r="357" spans="1:8">
      <c r="A357" t="s">
        <v>1078</v>
      </c>
      <c r="B357" t="s">
        <v>532</v>
      </c>
      <c r="C357" s="1" t="s">
        <v>534</v>
      </c>
      <c r="D357" t="s">
        <v>1460</v>
      </c>
      <c r="E357" s="2">
        <v>98973.88</v>
      </c>
      <c r="F357" s="2">
        <v>98973.88</v>
      </c>
      <c r="G357" s="2">
        <v>659190</v>
      </c>
      <c r="H357" s="2">
        <v>659190</v>
      </c>
    </row>
    <row r="358" spans="1:8">
      <c r="A358" t="s">
        <v>1079</v>
      </c>
      <c r="B358" t="s">
        <v>532</v>
      </c>
      <c r="C358" s="1" t="s">
        <v>531</v>
      </c>
      <c r="D358" t="s">
        <v>1460</v>
      </c>
      <c r="E358" s="2">
        <v>189015.67000000004</v>
      </c>
      <c r="F358" s="2">
        <v>184732.96000000002</v>
      </c>
      <c r="G358" s="2">
        <v>35200</v>
      </c>
      <c r="H358" s="2">
        <v>35200</v>
      </c>
    </row>
    <row r="359" spans="1:8">
      <c r="A359" t="s">
        <v>1080</v>
      </c>
      <c r="B359" t="s">
        <v>532</v>
      </c>
      <c r="C359" s="1" t="s">
        <v>533</v>
      </c>
      <c r="D359" t="s">
        <v>1460</v>
      </c>
      <c r="E359" s="2">
        <v>998300.69000000006</v>
      </c>
      <c r="F359" s="2">
        <v>924078.16999999969</v>
      </c>
      <c r="G359" s="2">
        <v>438739.99999999983</v>
      </c>
      <c r="H359" s="2">
        <v>438740</v>
      </c>
    </row>
    <row r="360" spans="1:8">
      <c r="A360" t="s">
        <v>1081</v>
      </c>
      <c r="B360" t="s">
        <v>532</v>
      </c>
      <c r="C360" s="1" t="s">
        <v>624</v>
      </c>
      <c r="D360" t="s">
        <v>1460</v>
      </c>
      <c r="E360" s="2">
        <v>68306.3</v>
      </c>
      <c r="F360" s="2">
        <v>54596.45</v>
      </c>
      <c r="G360" s="2">
        <v>13429.999999999998</v>
      </c>
      <c r="H360" s="2">
        <v>13430</v>
      </c>
    </row>
    <row r="361" spans="1:8">
      <c r="A361" t="s">
        <v>1082</v>
      </c>
      <c r="B361" t="s">
        <v>532</v>
      </c>
      <c r="C361" s="1" t="s">
        <v>633</v>
      </c>
      <c r="D361" t="s">
        <v>1460</v>
      </c>
      <c r="E361" s="2">
        <v>27829.82</v>
      </c>
      <c r="F361" s="2">
        <v>27829.82</v>
      </c>
      <c r="G361" s="2">
        <v>57660.000000000007</v>
      </c>
      <c r="H361" s="2">
        <v>57660</v>
      </c>
    </row>
    <row r="362" spans="1:8">
      <c r="A362" t="s">
        <v>1083</v>
      </c>
      <c r="B362" t="s">
        <v>532</v>
      </c>
      <c r="C362" s="1" t="s">
        <v>634</v>
      </c>
      <c r="D362" t="s">
        <v>1460</v>
      </c>
      <c r="E362" s="2">
        <v>171435.45</v>
      </c>
      <c r="F362" s="2">
        <v>171435.45</v>
      </c>
      <c r="G362" s="2">
        <v>16475</v>
      </c>
      <c r="H362" s="2">
        <v>16475</v>
      </c>
    </row>
    <row r="363" spans="1:8">
      <c r="A363" t="s">
        <v>1084</v>
      </c>
      <c r="B363" t="s">
        <v>532</v>
      </c>
      <c r="C363" s="1" t="s">
        <v>635</v>
      </c>
      <c r="D363" t="s">
        <v>1460</v>
      </c>
      <c r="E363" s="2">
        <v>124484.11</v>
      </c>
      <c r="F363" s="2">
        <v>124484.11</v>
      </c>
      <c r="G363" s="2">
        <v>152855</v>
      </c>
      <c r="H363" s="2">
        <v>152855.00000000003</v>
      </c>
    </row>
    <row r="364" spans="1:8">
      <c r="A364" t="s">
        <v>1085</v>
      </c>
      <c r="B364" t="s">
        <v>303</v>
      </c>
      <c r="C364" s="1" t="s">
        <v>317</v>
      </c>
      <c r="D364" t="s">
        <v>1329</v>
      </c>
      <c r="E364" s="2">
        <v>108656.35</v>
      </c>
      <c r="F364" s="2">
        <v>108656.35</v>
      </c>
      <c r="G364" s="2">
        <v>186702.99999999997</v>
      </c>
      <c r="H364" s="2">
        <v>185936.9</v>
      </c>
    </row>
    <row r="365" spans="1:8">
      <c r="A365" t="s">
        <v>1086</v>
      </c>
      <c r="B365" t="s">
        <v>303</v>
      </c>
      <c r="C365" s="1" t="s">
        <v>538</v>
      </c>
      <c r="D365" t="s">
        <v>1329</v>
      </c>
      <c r="E365" s="2">
        <v>58372.37</v>
      </c>
      <c r="F365" s="2">
        <v>58372.369999999995</v>
      </c>
      <c r="G365" s="2">
        <v>311428</v>
      </c>
      <c r="H365" s="2">
        <v>311428</v>
      </c>
    </row>
    <row r="366" spans="1:8">
      <c r="A366" t="s">
        <v>1087</v>
      </c>
      <c r="B366" t="s">
        <v>303</v>
      </c>
      <c r="C366" s="1" t="s">
        <v>308</v>
      </c>
      <c r="D366" t="s">
        <v>1329</v>
      </c>
      <c r="E366" s="2">
        <v>750722.64999999991</v>
      </c>
      <c r="F366" s="2">
        <v>750722.65</v>
      </c>
      <c r="G366" s="2">
        <v>22150</v>
      </c>
      <c r="H366" s="2">
        <v>22150</v>
      </c>
    </row>
    <row r="367" spans="1:8">
      <c r="A367" t="s">
        <v>1088</v>
      </c>
      <c r="B367" t="s">
        <v>303</v>
      </c>
      <c r="C367" s="1" t="s">
        <v>309</v>
      </c>
      <c r="D367" t="s">
        <v>1329</v>
      </c>
      <c r="E367" s="2">
        <v>37077.370000000003</v>
      </c>
      <c r="F367" s="2">
        <v>37077.370000000003</v>
      </c>
      <c r="G367" s="2">
        <v>121488.15</v>
      </c>
      <c r="H367" s="2">
        <v>121488.15</v>
      </c>
    </row>
    <row r="368" spans="1:8">
      <c r="A368" t="s">
        <v>1089</v>
      </c>
      <c r="B368" t="s">
        <v>303</v>
      </c>
      <c r="C368" s="1" t="s">
        <v>312</v>
      </c>
      <c r="D368" t="s">
        <v>1329</v>
      </c>
      <c r="E368" s="2">
        <v>140267.37</v>
      </c>
      <c r="F368" s="2">
        <v>140267.37</v>
      </c>
      <c r="G368" s="2">
        <v>17669.189999999999</v>
      </c>
      <c r="H368" s="2">
        <v>17669.189999999999</v>
      </c>
    </row>
    <row r="369" spans="1:8">
      <c r="A369" t="s">
        <v>1090</v>
      </c>
      <c r="B369" t="s">
        <v>303</v>
      </c>
      <c r="C369" s="1" t="s">
        <v>302</v>
      </c>
      <c r="D369" t="s">
        <v>1329</v>
      </c>
      <c r="E369" s="2">
        <v>686760.3899999999</v>
      </c>
      <c r="F369" s="2">
        <v>686760.39000000013</v>
      </c>
      <c r="G369" s="2">
        <v>115778.33</v>
      </c>
      <c r="H369" s="2">
        <v>115778.33</v>
      </c>
    </row>
    <row r="370" spans="1:8">
      <c r="A370" t="s">
        <v>1091</v>
      </c>
      <c r="B370" t="s">
        <v>303</v>
      </c>
      <c r="C370" s="1" t="s">
        <v>609</v>
      </c>
      <c r="D370" t="s">
        <v>1329</v>
      </c>
      <c r="E370" s="2">
        <v>9435</v>
      </c>
      <c r="F370" s="2">
        <v>9435</v>
      </c>
      <c r="G370" s="2">
        <v>22751.120000000003</v>
      </c>
      <c r="H370" s="2">
        <v>22751.119999999995</v>
      </c>
    </row>
    <row r="371" spans="1:8">
      <c r="A371" t="s">
        <v>1092</v>
      </c>
      <c r="B371" t="s">
        <v>9</v>
      </c>
      <c r="C371" s="1" t="s">
        <v>213</v>
      </c>
      <c r="D371" t="s">
        <v>1461</v>
      </c>
      <c r="E371" s="2">
        <v>268791.17000000004</v>
      </c>
      <c r="F371" s="2">
        <v>268791.17000000004</v>
      </c>
      <c r="G371" s="2">
        <v>45504.130000000005</v>
      </c>
      <c r="H371" s="2">
        <v>45504.13</v>
      </c>
    </row>
    <row r="372" spans="1:8">
      <c r="A372" t="s">
        <v>1093</v>
      </c>
      <c r="B372" t="s">
        <v>9</v>
      </c>
      <c r="C372" s="1" t="s">
        <v>215</v>
      </c>
      <c r="D372" t="s">
        <v>1461</v>
      </c>
      <c r="E372" s="2">
        <v>132120.09999999998</v>
      </c>
      <c r="F372" s="2">
        <v>132120.1</v>
      </c>
      <c r="G372" s="2">
        <v>228657.66</v>
      </c>
      <c r="H372" s="2">
        <v>228657.66000000003</v>
      </c>
    </row>
    <row r="373" spans="1:8">
      <c r="A373" t="s">
        <v>1094</v>
      </c>
      <c r="B373" t="s">
        <v>9</v>
      </c>
      <c r="C373" s="1" t="s">
        <v>8</v>
      </c>
      <c r="D373" t="s">
        <v>1461</v>
      </c>
      <c r="E373" s="2">
        <v>859589.01000000013</v>
      </c>
      <c r="F373" s="2">
        <v>859589.00999999989</v>
      </c>
      <c r="G373" s="2">
        <v>160486.04</v>
      </c>
      <c r="H373" s="2">
        <v>160486.04</v>
      </c>
    </row>
    <row r="374" spans="1:8">
      <c r="A374" t="s">
        <v>1095</v>
      </c>
      <c r="B374" t="s">
        <v>9</v>
      </c>
      <c r="C374" s="1" t="s">
        <v>214</v>
      </c>
      <c r="D374" t="s">
        <v>1461</v>
      </c>
      <c r="E374" s="2">
        <v>57404.33</v>
      </c>
      <c r="F374" s="2">
        <v>57404.33</v>
      </c>
      <c r="G374" s="2">
        <v>23083.810000000005</v>
      </c>
      <c r="H374" s="2">
        <v>23083.81</v>
      </c>
    </row>
    <row r="375" spans="1:8">
      <c r="A375" t="s">
        <v>1096</v>
      </c>
      <c r="B375" t="s">
        <v>9</v>
      </c>
      <c r="C375" s="1" t="s">
        <v>212</v>
      </c>
      <c r="D375" t="s">
        <v>1461</v>
      </c>
      <c r="E375" s="2">
        <v>104529.85999999999</v>
      </c>
      <c r="F375" s="2">
        <v>104529.85999999999</v>
      </c>
      <c r="G375" s="2">
        <v>119347.83</v>
      </c>
      <c r="H375" s="2">
        <v>119347.83</v>
      </c>
    </row>
    <row r="376" spans="1:8">
      <c r="A376" t="s">
        <v>1097</v>
      </c>
      <c r="B376" t="s">
        <v>9</v>
      </c>
      <c r="C376" s="1" t="s">
        <v>442</v>
      </c>
      <c r="D376" t="s">
        <v>1461</v>
      </c>
      <c r="E376" s="2">
        <v>12970</v>
      </c>
      <c r="F376" s="2">
        <v>12970</v>
      </c>
      <c r="G376" s="2">
        <v>8915.35</v>
      </c>
      <c r="H376" s="2">
        <v>8915.3499999999985</v>
      </c>
    </row>
    <row r="377" spans="1:8">
      <c r="A377" t="s">
        <v>1098</v>
      </c>
      <c r="B377" t="s">
        <v>64</v>
      </c>
      <c r="C377" s="1" t="s">
        <v>63</v>
      </c>
      <c r="D377" t="s">
        <v>1145</v>
      </c>
      <c r="E377" s="2">
        <v>62146.479999999981</v>
      </c>
      <c r="F377" s="2">
        <v>62146.479999999996</v>
      </c>
      <c r="G377" s="2">
        <v>53629.54</v>
      </c>
      <c r="H377" s="2">
        <v>53629.54</v>
      </c>
    </row>
    <row r="378" spans="1:8">
      <c r="A378" t="s">
        <v>1099</v>
      </c>
      <c r="B378" t="s">
        <v>25</v>
      </c>
      <c r="C378" s="1" t="s">
        <v>211</v>
      </c>
      <c r="D378" t="s">
        <v>1146</v>
      </c>
      <c r="E378" s="2">
        <v>1953866.1899999997</v>
      </c>
      <c r="F378" s="2">
        <v>528547.04</v>
      </c>
      <c r="G378" s="2">
        <v>327671.13</v>
      </c>
      <c r="H378" s="2">
        <v>327671.12999999995</v>
      </c>
    </row>
    <row r="379" spans="1:8">
      <c r="A379" t="s">
        <v>1100</v>
      </c>
      <c r="B379" t="s">
        <v>25</v>
      </c>
      <c r="C379" s="1" t="s">
        <v>24</v>
      </c>
      <c r="D379" t="s">
        <v>1146</v>
      </c>
      <c r="E379" s="2">
        <v>19869.999999999996</v>
      </c>
      <c r="F379" s="2">
        <v>19870</v>
      </c>
      <c r="G379" s="2">
        <v>31261.18</v>
      </c>
      <c r="H379" s="2">
        <v>31261.18</v>
      </c>
    </row>
    <row r="380" spans="1:8">
      <c r="A380" t="s">
        <v>1101</v>
      </c>
      <c r="B380" t="s">
        <v>705</v>
      </c>
      <c r="C380" s="1" t="s">
        <v>704</v>
      </c>
      <c r="D380" t="s">
        <v>1146</v>
      </c>
      <c r="E380" s="2">
        <v>255</v>
      </c>
      <c r="F380" s="2">
        <v>255</v>
      </c>
      <c r="G380" s="2">
        <v>172244.43</v>
      </c>
      <c r="H380" s="2">
        <v>172244.43</v>
      </c>
    </row>
    <row r="381" spans="1:8">
      <c r="A381" t="s">
        <v>1102</v>
      </c>
      <c r="B381" t="s">
        <v>701</v>
      </c>
      <c r="C381" s="1" t="s">
        <v>700</v>
      </c>
      <c r="D381" t="s">
        <v>1146</v>
      </c>
      <c r="E381" s="2">
        <v>255</v>
      </c>
      <c r="F381" s="2">
        <v>255</v>
      </c>
      <c r="G381" s="2">
        <v>156707</v>
      </c>
      <c r="H381" s="2">
        <v>156707</v>
      </c>
    </row>
    <row r="382" spans="1:8">
      <c r="A382" t="s">
        <v>1103</v>
      </c>
      <c r="B382" t="s">
        <v>707</v>
      </c>
      <c r="C382" s="1" t="s">
        <v>706</v>
      </c>
      <c r="D382" t="s">
        <v>1146</v>
      </c>
      <c r="E382" s="2">
        <v>255</v>
      </c>
      <c r="F382" s="2">
        <v>255</v>
      </c>
      <c r="G382" s="2">
        <v>607397</v>
      </c>
      <c r="H382" s="2">
        <v>607397</v>
      </c>
    </row>
    <row r="383" spans="1:8">
      <c r="A383" t="s">
        <v>1104</v>
      </c>
      <c r="B383" t="s">
        <v>703</v>
      </c>
      <c r="C383" s="1" t="s">
        <v>702</v>
      </c>
      <c r="D383" t="s">
        <v>1236</v>
      </c>
      <c r="E383" s="2">
        <v>2294.3700000000026</v>
      </c>
      <c r="F383" s="2">
        <v>2294.37</v>
      </c>
      <c r="G383" s="2">
        <v>37050</v>
      </c>
      <c r="H383" s="2">
        <v>37050</v>
      </c>
    </row>
    <row r="384" spans="1:8">
      <c r="A384" t="s">
        <v>1105</v>
      </c>
      <c r="B384" t="s">
        <v>359</v>
      </c>
      <c r="C384" s="1" t="s">
        <v>358</v>
      </c>
      <c r="D384" t="s">
        <v>1237</v>
      </c>
      <c r="E384" s="2">
        <v>532350.31999999995</v>
      </c>
      <c r="F384" s="2">
        <v>505457.34</v>
      </c>
      <c r="G384" s="2">
        <v>68390</v>
      </c>
      <c r="H384" s="2">
        <v>68390</v>
      </c>
    </row>
    <row r="385" spans="1:8">
      <c r="A385" t="s">
        <v>1106</v>
      </c>
      <c r="B385" t="s">
        <v>37</v>
      </c>
      <c r="C385" s="1" t="s">
        <v>54</v>
      </c>
      <c r="D385" t="s">
        <v>1340</v>
      </c>
      <c r="E385" s="2">
        <v>899348.57000000007</v>
      </c>
      <c r="F385" s="2">
        <v>899348.57</v>
      </c>
      <c r="G385" s="2">
        <v>11879.999999999998</v>
      </c>
      <c r="H385" s="2">
        <v>11880</v>
      </c>
    </row>
    <row r="386" spans="1:8">
      <c r="A386" t="s">
        <v>1107</v>
      </c>
      <c r="B386" t="s">
        <v>37</v>
      </c>
      <c r="C386" s="1" t="s">
        <v>36</v>
      </c>
      <c r="D386" t="s">
        <v>1341</v>
      </c>
      <c r="E386" s="2">
        <v>37436.120000000003</v>
      </c>
      <c r="F386" s="2">
        <v>37436.120000000003</v>
      </c>
      <c r="G386" s="2">
        <v>200000</v>
      </c>
      <c r="H386" s="2">
        <v>0</v>
      </c>
    </row>
    <row r="387" spans="1:8">
      <c r="A387" t="s">
        <v>1108</v>
      </c>
      <c r="B387" t="s">
        <v>62</v>
      </c>
      <c r="C387" s="1" t="s">
        <v>79</v>
      </c>
      <c r="D387" t="s">
        <v>1342</v>
      </c>
      <c r="E387" s="2">
        <v>2506581.5800000005</v>
      </c>
      <c r="F387" s="2">
        <v>2506581.5799999991</v>
      </c>
      <c r="G387" s="2">
        <v>677954.75</v>
      </c>
      <c r="H387" s="2">
        <v>677954.75</v>
      </c>
    </row>
    <row r="388" spans="1:8">
      <c r="A388" t="s">
        <v>1109</v>
      </c>
      <c r="B388" t="s">
        <v>62</v>
      </c>
      <c r="C388" s="1" t="s">
        <v>61</v>
      </c>
      <c r="D388" t="s">
        <v>1342</v>
      </c>
      <c r="E388" s="2">
        <v>44837.380000000005</v>
      </c>
      <c r="F388" s="2">
        <v>44837.380000000005</v>
      </c>
      <c r="G388" s="2">
        <v>1559001.33</v>
      </c>
      <c r="H388" s="2">
        <v>1559001.33</v>
      </c>
    </row>
    <row r="389" spans="1:8">
      <c r="A389" t="s">
        <v>1110</v>
      </c>
      <c r="B389" t="s">
        <v>62</v>
      </c>
      <c r="C389" s="1" t="s">
        <v>651</v>
      </c>
      <c r="D389" t="s">
        <v>1342</v>
      </c>
      <c r="E389" s="2">
        <v>106652.57999999999</v>
      </c>
      <c r="F389" s="2">
        <v>102080.88</v>
      </c>
      <c r="G389" s="2">
        <v>406539.61</v>
      </c>
      <c r="H389" s="2">
        <v>406539.61000000004</v>
      </c>
    </row>
    <row r="390" spans="1:8">
      <c r="A390" t="s">
        <v>1111</v>
      </c>
      <c r="B390" t="s">
        <v>19</v>
      </c>
      <c r="C390" s="1" t="s">
        <v>18</v>
      </c>
      <c r="D390" t="s">
        <v>1343</v>
      </c>
      <c r="E390" s="2">
        <v>35269.17</v>
      </c>
      <c r="F390" s="2">
        <v>35269.170000000006</v>
      </c>
      <c r="G390" s="2">
        <v>2481472.12</v>
      </c>
      <c r="H390" s="2">
        <v>215115.81</v>
      </c>
    </row>
    <row r="391" spans="1:8">
      <c r="A391" t="s">
        <v>1112</v>
      </c>
      <c r="B391" t="s">
        <v>711</v>
      </c>
      <c r="C391" s="1" t="s">
        <v>710</v>
      </c>
      <c r="D391" t="s">
        <v>1344</v>
      </c>
      <c r="E391" s="2">
        <v>20.49</v>
      </c>
      <c r="F391" s="2">
        <v>20.49</v>
      </c>
      <c r="G391" s="2">
        <v>1169159.3999999999</v>
      </c>
      <c r="H391" s="2">
        <v>863912.47000000009</v>
      </c>
    </row>
    <row r="392" spans="1:8">
      <c r="A392" t="s">
        <v>1113</v>
      </c>
      <c r="B392" t="s">
        <v>51</v>
      </c>
      <c r="C392" s="1" t="s">
        <v>50</v>
      </c>
      <c r="D392" t="s">
        <v>1344</v>
      </c>
      <c r="E392" s="2">
        <v>3742800.2800000017</v>
      </c>
      <c r="F392" s="2">
        <v>3728029.2800000003</v>
      </c>
      <c r="G392" s="2">
        <v>36660</v>
      </c>
      <c r="H392" s="2">
        <v>0</v>
      </c>
    </row>
    <row r="393" spans="1:8">
      <c r="A393" t="s">
        <v>1114</v>
      </c>
      <c r="B393" t="s">
        <v>51</v>
      </c>
      <c r="C393" s="1" t="s">
        <v>323</v>
      </c>
      <c r="D393" t="s">
        <v>1344</v>
      </c>
      <c r="E393" s="2">
        <v>2110154.58</v>
      </c>
      <c r="F393" s="2">
        <v>2110154.58</v>
      </c>
      <c r="G393" s="2">
        <v>92080</v>
      </c>
      <c r="H393" s="2">
        <v>0</v>
      </c>
    </row>
    <row r="394" spans="1:8">
      <c r="A394" t="s">
        <v>1115</v>
      </c>
      <c r="B394" t="s">
        <v>43</v>
      </c>
      <c r="C394" s="1" t="s">
        <v>42</v>
      </c>
      <c r="D394" t="s">
        <v>1345</v>
      </c>
      <c r="E394" s="2">
        <v>651096.68999999994</v>
      </c>
      <c r="F394" s="2">
        <v>650860.84999999986</v>
      </c>
      <c r="G394" s="2">
        <v>706550.74</v>
      </c>
      <c r="H394" s="2">
        <v>706550.74</v>
      </c>
    </row>
    <row r="395" spans="1:8">
      <c r="A395" t="s">
        <v>1116</v>
      </c>
      <c r="B395" t="s">
        <v>43</v>
      </c>
      <c r="C395" s="1" t="s">
        <v>65</v>
      </c>
      <c r="D395" t="s">
        <v>1346</v>
      </c>
      <c r="E395" s="2">
        <v>27751.869999999995</v>
      </c>
      <c r="F395" s="2">
        <v>27751.870000000003</v>
      </c>
      <c r="G395" s="2">
        <v>75812.479999999996</v>
      </c>
      <c r="H395" s="2">
        <v>58264.669999999991</v>
      </c>
    </row>
    <row r="396" spans="1:8">
      <c r="A396" t="s">
        <v>1117</v>
      </c>
      <c r="B396" t="s">
        <v>53</v>
      </c>
      <c r="C396" s="1" t="s">
        <v>242</v>
      </c>
      <c r="D396" t="s">
        <v>1347</v>
      </c>
      <c r="E396" s="2">
        <v>352247.21</v>
      </c>
      <c r="F396" s="2">
        <v>302826.21000000002</v>
      </c>
      <c r="G396" s="2">
        <v>94630.94</v>
      </c>
      <c r="H396" s="2">
        <v>94536.37</v>
      </c>
    </row>
    <row r="397" spans="1:8">
      <c r="A397" t="s">
        <v>1118</v>
      </c>
      <c r="B397" t="s">
        <v>53</v>
      </c>
      <c r="C397" s="1" t="s">
        <v>52</v>
      </c>
      <c r="D397" t="s">
        <v>1347</v>
      </c>
      <c r="E397" s="2">
        <v>33287.75</v>
      </c>
      <c r="F397" s="2">
        <v>33287.750000000007</v>
      </c>
      <c r="G397" s="2">
        <v>51289.119999999995</v>
      </c>
      <c r="H397" s="2">
        <v>44634.96</v>
      </c>
    </row>
    <row r="398" spans="1:8">
      <c r="A398" t="s">
        <v>1119</v>
      </c>
      <c r="B398" t="s">
        <v>31</v>
      </c>
      <c r="C398" s="1" t="s">
        <v>30</v>
      </c>
      <c r="D398" t="s">
        <v>1348</v>
      </c>
      <c r="E398" s="2">
        <v>37763.199999999997</v>
      </c>
      <c r="F398" s="2">
        <v>37763.200000000004</v>
      </c>
      <c r="G398" s="2">
        <v>84956.160000000003</v>
      </c>
      <c r="H398" s="2">
        <v>76534.819999999992</v>
      </c>
    </row>
    <row r="399" spans="1:8">
      <c r="A399" t="s">
        <v>1120</v>
      </c>
      <c r="B399" t="s">
        <v>72</v>
      </c>
      <c r="C399" s="1" t="s">
        <v>71</v>
      </c>
      <c r="D399" t="s">
        <v>1401</v>
      </c>
      <c r="E399" s="2">
        <v>40048.370000000003</v>
      </c>
      <c r="F399" s="2">
        <v>40048.370000000003</v>
      </c>
      <c r="G399" s="2">
        <v>40048.370000000003</v>
      </c>
      <c r="H399" s="2">
        <v>40048.369999999995</v>
      </c>
    </row>
    <row r="400" spans="1:8">
      <c r="A400" t="s">
        <v>1121</v>
      </c>
      <c r="B400" t="s">
        <v>131</v>
      </c>
      <c r="C400" s="1" t="s">
        <v>227</v>
      </c>
      <c r="D400" t="s">
        <v>1402</v>
      </c>
      <c r="E400" s="2">
        <v>232363</v>
      </c>
      <c r="F400" s="2">
        <v>210040.75</v>
      </c>
      <c r="G400" s="2">
        <v>232363</v>
      </c>
      <c r="H400" s="2">
        <v>206328.49</v>
      </c>
    </row>
    <row r="401" spans="1:8">
      <c r="A401" t="s">
        <v>1122</v>
      </c>
      <c r="B401" t="s">
        <v>131</v>
      </c>
      <c r="C401" s="1" t="s">
        <v>130</v>
      </c>
      <c r="D401" t="s">
        <v>1402</v>
      </c>
      <c r="E401" s="2">
        <v>336867</v>
      </c>
      <c r="F401" s="2">
        <v>319990</v>
      </c>
      <c r="G401" s="2">
        <v>336867</v>
      </c>
      <c r="H401" s="2">
        <v>319990</v>
      </c>
    </row>
    <row r="402" spans="1:8">
      <c r="A402" t="s">
        <v>1123</v>
      </c>
      <c r="B402" t="s">
        <v>131</v>
      </c>
      <c r="C402" s="1" t="s">
        <v>330</v>
      </c>
      <c r="D402" t="s">
        <v>1402</v>
      </c>
      <c r="E402" s="2">
        <v>52713.919999999998</v>
      </c>
      <c r="F402" s="2">
        <v>52713.919999999998</v>
      </c>
      <c r="G402" s="2">
        <v>52713.919999999998</v>
      </c>
      <c r="H402" s="2">
        <v>52713.920000000006</v>
      </c>
    </row>
    <row r="403" spans="1:8">
      <c r="A403" t="s">
        <v>1124</v>
      </c>
      <c r="B403" t="s">
        <v>33</v>
      </c>
      <c r="C403" s="1" t="s">
        <v>32</v>
      </c>
      <c r="D403" t="s">
        <v>1403</v>
      </c>
      <c r="E403" s="2">
        <v>67344.850000000006</v>
      </c>
      <c r="F403" s="2">
        <v>59025.320000000007</v>
      </c>
      <c r="G403" s="2">
        <v>59025.32</v>
      </c>
      <c r="H403" s="2">
        <v>59025.32</v>
      </c>
    </row>
    <row r="404" spans="1:8">
      <c r="A404" t="s">
        <v>1125</v>
      </c>
      <c r="B404" t="s">
        <v>336</v>
      </c>
      <c r="C404" s="1" t="s">
        <v>335</v>
      </c>
      <c r="D404" t="s">
        <v>1404</v>
      </c>
      <c r="E404" s="2">
        <v>775920.48999999976</v>
      </c>
      <c r="F404" s="2">
        <v>775920.49</v>
      </c>
      <c r="G404" s="2">
        <v>775920.48999999976</v>
      </c>
      <c r="H404" s="2">
        <v>775920.49</v>
      </c>
    </row>
    <row r="405" spans="1:8">
      <c r="A405" t="s">
        <v>1126</v>
      </c>
      <c r="B405" t="s">
        <v>111</v>
      </c>
      <c r="C405" s="1" t="s">
        <v>110</v>
      </c>
      <c r="D405" t="s">
        <v>1405</v>
      </c>
      <c r="E405" s="2">
        <v>439758.32999999996</v>
      </c>
      <c r="F405" s="2">
        <v>422144.03000000009</v>
      </c>
      <c r="G405" s="2">
        <v>427083.32999999996</v>
      </c>
      <c r="H405" s="2">
        <v>377420.76000000007</v>
      </c>
    </row>
    <row r="406" spans="1:8">
      <c r="A406" t="s">
        <v>1127</v>
      </c>
      <c r="B406" t="s">
        <v>111</v>
      </c>
      <c r="C406" s="1" t="s">
        <v>331</v>
      </c>
      <c r="D406" t="s">
        <v>1406</v>
      </c>
      <c r="E406" s="2">
        <v>42894.030000000006</v>
      </c>
      <c r="F406" s="2">
        <v>42894.030000000006</v>
      </c>
      <c r="G406" s="2">
        <v>42894.029999999992</v>
      </c>
      <c r="H406" s="2">
        <v>42894.030000000006</v>
      </c>
    </row>
    <row r="407" spans="1:8">
      <c r="A407" t="s">
        <v>1128</v>
      </c>
      <c r="B407" t="s">
        <v>69</v>
      </c>
      <c r="C407" s="1" t="s">
        <v>68</v>
      </c>
      <c r="D407" t="s">
        <v>1407</v>
      </c>
      <c r="E407" s="2">
        <v>32401.300000000003</v>
      </c>
      <c r="F407" s="2">
        <v>32401.3</v>
      </c>
      <c r="G407" s="2">
        <v>32401.3</v>
      </c>
      <c r="H407" s="2">
        <v>32401.3</v>
      </c>
    </row>
    <row r="408" spans="1:8">
      <c r="A408" t="s">
        <v>1129</v>
      </c>
      <c r="B408" t="s">
        <v>69</v>
      </c>
      <c r="C408" s="1" t="s">
        <v>311</v>
      </c>
      <c r="D408" t="s">
        <v>1407</v>
      </c>
      <c r="E408" s="2">
        <v>76986</v>
      </c>
      <c r="F408" s="2">
        <v>76200</v>
      </c>
      <c r="G408" s="2">
        <v>76986</v>
      </c>
      <c r="H408" s="2">
        <v>44280</v>
      </c>
    </row>
    <row r="409" spans="1:8">
      <c r="A409" t="s">
        <v>1130</v>
      </c>
      <c r="B409" t="s">
        <v>69</v>
      </c>
      <c r="C409" s="1" t="s">
        <v>289</v>
      </c>
      <c r="D409" t="s">
        <v>1407</v>
      </c>
      <c r="E409" s="2">
        <v>119449.45</v>
      </c>
      <c r="F409" s="2">
        <v>110249.45</v>
      </c>
      <c r="G409" s="2">
        <v>119449.45000000001</v>
      </c>
      <c r="H409" s="2">
        <v>107529.45</v>
      </c>
    </row>
    <row r="410" spans="1:8">
      <c r="A410" t="s">
        <v>1131</v>
      </c>
      <c r="B410" t="s">
        <v>67</v>
      </c>
      <c r="C410" s="1" t="s">
        <v>66</v>
      </c>
      <c r="D410" t="s">
        <v>1408</v>
      </c>
      <c r="E410" s="2">
        <v>34920.699999999997</v>
      </c>
      <c r="F410" s="2">
        <v>34920.699999999997</v>
      </c>
      <c r="G410" s="2">
        <v>34920.699999999997</v>
      </c>
      <c r="H410" s="2">
        <v>34920.699999999997</v>
      </c>
    </row>
    <row r="411" spans="1:8">
      <c r="A411" t="s">
        <v>1132</v>
      </c>
      <c r="B411" t="s">
        <v>78</v>
      </c>
      <c r="C411" s="1" t="s">
        <v>77</v>
      </c>
      <c r="D411" t="s">
        <v>1409</v>
      </c>
      <c r="E411" s="2">
        <v>70873.119999999995</v>
      </c>
      <c r="F411" s="2">
        <v>70873.119999999995</v>
      </c>
      <c r="G411" s="2">
        <v>70873.119999999995</v>
      </c>
      <c r="H411" s="2">
        <v>70873.119999999995</v>
      </c>
    </row>
    <row r="412" spans="1:8">
      <c r="A412" t="s">
        <v>1133</v>
      </c>
      <c r="B412" t="s">
        <v>320</v>
      </c>
      <c r="C412" s="1" t="s">
        <v>319</v>
      </c>
      <c r="D412" t="s">
        <v>1410</v>
      </c>
      <c r="E412" s="2">
        <v>42162.78</v>
      </c>
      <c r="F412" s="2">
        <v>42162.78</v>
      </c>
      <c r="G412" s="2">
        <v>42162.78</v>
      </c>
      <c r="H412" s="2">
        <v>42162.780000000006</v>
      </c>
    </row>
    <row r="413" spans="1:8">
      <c r="A413" t="s">
        <v>1134</v>
      </c>
      <c r="B413" t="s">
        <v>316</v>
      </c>
      <c r="C413" s="1" t="s">
        <v>315</v>
      </c>
      <c r="D413" t="s">
        <v>1410</v>
      </c>
      <c r="E413" s="2">
        <v>31354.28</v>
      </c>
      <c r="F413" s="2">
        <v>31354.28</v>
      </c>
      <c r="G413" s="2">
        <v>31354.28</v>
      </c>
      <c r="H413" s="2">
        <v>31354.28</v>
      </c>
    </row>
    <row r="414" spans="1:8">
      <c r="A414" t="s">
        <v>1135</v>
      </c>
      <c r="B414" t="s">
        <v>229</v>
      </c>
      <c r="C414" s="1" t="s">
        <v>228</v>
      </c>
      <c r="D414" t="s">
        <v>1411</v>
      </c>
      <c r="E414" s="2">
        <v>162806.09000000003</v>
      </c>
      <c r="F414" s="2">
        <v>161818.78999999998</v>
      </c>
      <c r="G414" s="2">
        <v>162806.08999999997</v>
      </c>
      <c r="H414" s="2">
        <v>155016.57999999999</v>
      </c>
    </row>
    <row r="415" spans="1:8">
      <c r="A415" t="s">
        <v>1136</v>
      </c>
      <c r="B415" t="s">
        <v>76</v>
      </c>
      <c r="C415" s="1" t="s">
        <v>75</v>
      </c>
      <c r="D415" t="s">
        <v>1412</v>
      </c>
      <c r="E415" s="2">
        <v>41531.300000000003</v>
      </c>
      <c r="F415" s="2">
        <v>41531.300000000003</v>
      </c>
      <c r="G415" s="2">
        <v>41531.300000000003</v>
      </c>
      <c r="H415" s="2">
        <v>41531.299999999996</v>
      </c>
    </row>
    <row r="416" spans="1:8">
      <c r="A416" t="s">
        <v>1137</v>
      </c>
      <c r="B416" t="s">
        <v>322</v>
      </c>
      <c r="C416" s="1" t="s">
        <v>321</v>
      </c>
      <c r="D416" t="s">
        <v>1413</v>
      </c>
      <c r="E416" s="2">
        <v>15305.46</v>
      </c>
      <c r="F416" s="2">
        <v>15305.46</v>
      </c>
      <c r="G416" s="2">
        <v>15305.46</v>
      </c>
      <c r="H416" s="2">
        <v>15305.46</v>
      </c>
    </row>
    <row r="417" spans="1:8">
      <c r="A417" t="s">
        <v>1138</v>
      </c>
      <c r="B417" t="s">
        <v>39</v>
      </c>
      <c r="C417" s="1" t="s">
        <v>38</v>
      </c>
      <c r="D417" t="s">
        <v>1414</v>
      </c>
      <c r="E417" s="2">
        <v>48048.47</v>
      </c>
      <c r="F417" s="2">
        <v>42648.47</v>
      </c>
      <c r="G417" s="2">
        <v>42648.47</v>
      </c>
      <c r="H417" s="2">
        <v>42648.469999999994</v>
      </c>
    </row>
    <row r="418" spans="1:8">
      <c r="A418" t="s">
        <v>1139</v>
      </c>
      <c r="B418" t="s">
        <v>543</v>
      </c>
      <c r="C418" s="1" t="s">
        <v>542</v>
      </c>
      <c r="D418" t="s">
        <v>1197</v>
      </c>
      <c r="E418" s="2">
        <v>19531</v>
      </c>
      <c r="F418" s="2">
        <v>450</v>
      </c>
      <c r="G418" s="2">
        <v>59388</v>
      </c>
      <c r="H418" s="2">
        <v>59388</v>
      </c>
    </row>
    <row r="419" spans="1:8">
      <c r="A419" t="s">
        <v>1140</v>
      </c>
      <c r="B419" t="s">
        <v>589</v>
      </c>
      <c r="C419" s="1" t="s">
        <v>588</v>
      </c>
      <c r="D419" t="s">
        <v>1198</v>
      </c>
      <c r="E419" s="2">
        <v>74212</v>
      </c>
      <c r="F419" s="2"/>
      <c r="G419" s="2">
        <v>549226.47000000009</v>
      </c>
      <c r="H419" s="2">
        <v>549226.47</v>
      </c>
    </row>
    <row r="420" spans="1:8">
      <c r="A420" t="s">
        <v>1141</v>
      </c>
      <c r="B420" t="s">
        <v>565</v>
      </c>
      <c r="C420" s="1" t="s">
        <v>564</v>
      </c>
      <c r="D420" t="s">
        <v>1199</v>
      </c>
      <c r="E420" s="2">
        <v>102925</v>
      </c>
      <c r="F420" s="2"/>
      <c r="G420" s="2">
        <v>569926</v>
      </c>
      <c r="H420" s="2">
        <v>569926</v>
      </c>
    </row>
    <row r="421" spans="1:8">
      <c r="A421" t="s">
        <v>1142</v>
      </c>
      <c r="B421" t="s">
        <v>121</v>
      </c>
      <c r="C421" s="1" t="s">
        <v>301</v>
      </c>
      <c r="D421" t="s">
        <v>1200</v>
      </c>
      <c r="E421" s="2">
        <v>9952964.9999999981</v>
      </c>
      <c r="F421" s="2">
        <v>9569279.3199999928</v>
      </c>
      <c r="G421" s="2">
        <v>411961.46000000008</v>
      </c>
      <c r="H421" s="2">
        <v>411961.45999999996</v>
      </c>
    </row>
    <row r="422" spans="1:8">
      <c r="A422" t="s">
        <v>1143</v>
      </c>
      <c r="B422" t="s">
        <v>121</v>
      </c>
      <c r="C422" s="1" t="s">
        <v>120</v>
      </c>
      <c r="D422" t="s">
        <v>1200</v>
      </c>
      <c r="E422" s="2">
        <v>2387896.0699999947</v>
      </c>
      <c r="F422" s="2">
        <v>2151241.2299999991</v>
      </c>
      <c r="G422" s="2">
        <v>655646.64999999991</v>
      </c>
      <c r="H422" s="2">
        <v>655646.65000000014</v>
      </c>
    </row>
    <row r="423" spans="1:8">
      <c r="A423" t="s">
        <v>1144</v>
      </c>
      <c r="B423" t="s">
        <v>611</v>
      </c>
      <c r="C423" s="1" t="s">
        <v>610</v>
      </c>
      <c r="D423" t="s">
        <v>1201</v>
      </c>
      <c r="E423" s="2">
        <v>39614</v>
      </c>
      <c r="F423" s="2">
        <v>31864</v>
      </c>
      <c r="G423" s="2">
        <v>373068</v>
      </c>
      <c r="H423" s="2">
        <v>35832</v>
      </c>
    </row>
    <row r="424" spans="1:8">
      <c r="B424" t="s">
        <v>631</v>
      </c>
      <c r="C424" t="s">
        <v>652</v>
      </c>
      <c r="D424" t="s">
        <v>1202</v>
      </c>
      <c r="E424" s="2">
        <v>199760.56</v>
      </c>
      <c r="F424" s="2">
        <v>199662.61999999997</v>
      </c>
    </row>
    <row r="425" spans="1:8">
      <c r="B425" t="s">
        <v>597</v>
      </c>
      <c r="C425" t="s">
        <v>596</v>
      </c>
      <c r="D425" t="s">
        <v>1203</v>
      </c>
      <c r="E425" s="2">
        <v>26383.000000000004</v>
      </c>
      <c r="F425" s="2">
        <v>21408</v>
      </c>
    </row>
    <row r="426" spans="1:8">
      <c r="B426" t="s">
        <v>164</v>
      </c>
      <c r="C426" t="s">
        <v>163</v>
      </c>
      <c r="D426" t="s">
        <v>1204</v>
      </c>
      <c r="E426" s="2">
        <v>859835</v>
      </c>
      <c r="F426" s="2">
        <v>859835</v>
      </c>
      <c r="G426" s="2"/>
      <c r="H426" s="2"/>
    </row>
    <row r="427" spans="1:8">
      <c r="B427" t="s">
        <v>583</v>
      </c>
      <c r="C427" t="s">
        <v>582</v>
      </c>
      <c r="D427" t="s">
        <v>1205</v>
      </c>
      <c r="E427" s="2">
        <v>109605</v>
      </c>
      <c r="F427" s="2">
        <v>57519</v>
      </c>
    </row>
    <row r="428" spans="1:8">
      <c r="B428" t="s">
        <v>587</v>
      </c>
      <c r="C428" t="s">
        <v>586</v>
      </c>
      <c r="D428" t="s">
        <v>1206</v>
      </c>
      <c r="E428" s="2">
        <v>27739</v>
      </c>
      <c r="F428" s="2">
        <v>27739</v>
      </c>
    </row>
    <row r="429" spans="1:8">
      <c r="B429" t="s">
        <v>579</v>
      </c>
      <c r="C429" t="s">
        <v>578</v>
      </c>
      <c r="D429" t="s">
        <v>1207</v>
      </c>
      <c r="E429" s="2">
        <v>26888</v>
      </c>
      <c r="F429" s="2">
        <v>26888</v>
      </c>
    </row>
    <row r="430" spans="1:8">
      <c r="B430" t="s">
        <v>604</v>
      </c>
      <c r="C430" t="s">
        <v>603</v>
      </c>
      <c r="D430" t="s">
        <v>1208</v>
      </c>
      <c r="E430" s="2">
        <v>26888</v>
      </c>
      <c r="F430" s="2">
        <v>26888</v>
      </c>
    </row>
    <row r="431" spans="1:8">
      <c r="B431" t="s">
        <v>623</v>
      </c>
      <c r="C431" t="s">
        <v>622</v>
      </c>
      <c r="D431" t="s">
        <v>1209</v>
      </c>
      <c r="E431" s="2">
        <v>44040</v>
      </c>
      <c r="F431" s="2">
        <v>41265</v>
      </c>
    </row>
    <row r="432" spans="1:8">
      <c r="B432" t="s">
        <v>650</v>
      </c>
      <c r="C432" t="s">
        <v>649</v>
      </c>
      <c r="D432" t="s">
        <v>1200</v>
      </c>
      <c r="E432" s="2">
        <v>1248108.5000000005</v>
      </c>
      <c r="F432" s="2">
        <v>1248108.3900000001</v>
      </c>
    </row>
    <row r="433" spans="2:6">
      <c r="B433" t="s">
        <v>615</v>
      </c>
      <c r="C433" t="s">
        <v>614</v>
      </c>
      <c r="D433" t="s">
        <v>1210</v>
      </c>
      <c r="E433" s="2">
        <v>47400</v>
      </c>
      <c r="F433" s="2">
        <v>41625</v>
      </c>
    </row>
    <row r="434" spans="2:6">
      <c r="B434" t="s">
        <v>581</v>
      </c>
      <c r="C434" t="s">
        <v>580</v>
      </c>
      <c r="D434" t="s">
        <v>1211</v>
      </c>
      <c r="E434" s="2">
        <v>30574</v>
      </c>
      <c r="F434" s="2">
        <v>26074</v>
      </c>
    </row>
    <row r="435" spans="2:6">
      <c r="B435" t="s">
        <v>595</v>
      </c>
      <c r="C435" t="s">
        <v>594</v>
      </c>
      <c r="D435" t="s">
        <v>1212</v>
      </c>
      <c r="E435" s="2">
        <v>28022</v>
      </c>
      <c r="F435" s="2">
        <v>23522</v>
      </c>
    </row>
    <row r="436" spans="2:6">
      <c r="B436" t="s">
        <v>593</v>
      </c>
      <c r="C436" t="s">
        <v>592</v>
      </c>
      <c r="D436" t="s">
        <v>1213</v>
      </c>
      <c r="E436" s="2">
        <v>17500</v>
      </c>
      <c r="F436" s="2">
        <v>15000</v>
      </c>
    </row>
    <row r="437" spans="2:6">
      <c r="B437" t="s">
        <v>559</v>
      </c>
      <c r="C437" t="s">
        <v>558</v>
      </c>
      <c r="D437" t="s">
        <v>1214</v>
      </c>
      <c r="E437" s="2">
        <v>44030</v>
      </c>
      <c r="F437" s="2"/>
    </row>
    <row r="438" spans="2:6">
      <c r="B438" t="s">
        <v>569</v>
      </c>
      <c r="C438" t="s">
        <v>568</v>
      </c>
      <c r="D438" t="s">
        <v>1269</v>
      </c>
      <c r="E438" s="2">
        <v>26155</v>
      </c>
      <c r="F438" s="2">
        <v>26155</v>
      </c>
    </row>
    <row r="439" spans="2:6">
      <c r="B439" t="s">
        <v>1462</v>
      </c>
      <c r="C439" t="s">
        <v>1463</v>
      </c>
      <c r="D439" t="s">
        <v>1464</v>
      </c>
      <c r="E439" s="2">
        <v>56000</v>
      </c>
      <c r="F439" s="2"/>
    </row>
    <row r="440" spans="2:6">
      <c r="B440" t="s">
        <v>585</v>
      </c>
      <c r="C440" t="s">
        <v>584</v>
      </c>
      <c r="D440" t="s">
        <v>1270</v>
      </c>
      <c r="E440" s="2">
        <v>48292</v>
      </c>
      <c r="F440" s="2">
        <v>45792</v>
      </c>
    </row>
    <row r="441" spans="2:6">
      <c r="B441" t="s">
        <v>1465</v>
      </c>
      <c r="C441" t="s">
        <v>1466</v>
      </c>
      <c r="D441" t="s">
        <v>1467</v>
      </c>
      <c r="E441" s="2">
        <v>97000</v>
      </c>
      <c r="F441" s="2"/>
    </row>
    <row r="442" spans="2:6">
      <c r="B442" t="s">
        <v>486</v>
      </c>
      <c r="C442" t="s">
        <v>485</v>
      </c>
      <c r="D442" t="s">
        <v>1271</v>
      </c>
      <c r="E442" s="2">
        <v>2495129.8199999998</v>
      </c>
      <c r="F442" s="2">
        <v>19378.64</v>
      </c>
    </row>
    <row r="443" spans="2:6">
      <c r="B443" t="s">
        <v>379</v>
      </c>
      <c r="C443" t="s">
        <v>378</v>
      </c>
      <c r="D443" t="s">
        <v>1272</v>
      </c>
      <c r="E443" s="2">
        <v>799841</v>
      </c>
      <c r="F443" s="2">
        <v>748215.79000000015</v>
      </c>
    </row>
    <row r="444" spans="2:6">
      <c r="B444" t="s">
        <v>567</v>
      </c>
      <c r="C444" t="s">
        <v>566</v>
      </c>
      <c r="D444" t="s">
        <v>1273</v>
      </c>
      <c r="E444" s="2">
        <v>17550</v>
      </c>
      <c r="F444" s="2">
        <v>17550</v>
      </c>
    </row>
    <row r="445" spans="2:6">
      <c r="B445" t="s">
        <v>548</v>
      </c>
      <c r="C445" t="s">
        <v>547</v>
      </c>
      <c r="D445" t="s">
        <v>1395</v>
      </c>
      <c r="E445" s="2">
        <v>36660</v>
      </c>
      <c r="F445" s="2">
        <v>30160</v>
      </c>
    </row>
    <row r="446" spans="2:6">
      <c r="B446" t="s">
        <v>608</v>
      </c>
      <c r="C446" t="s">
        <v>607</v>
      </c>
      <c r="D446" t="s">
        <v>1396</v>
      </c>
      <c r="E446" s="2">
        <v>92080</v>
      </c>
      <c r="F446" s="2"/>
    </row>
    <row r="447" spans="2:6">
      <c r="B447" s="7"/>
      <c r="C447" s="7"/>
      <c r="D447" s="7"/>
      <c r="E447" s="9">
        <f>SUM(E7:E446)</f>
        <v>199164529.44000009</v>
      </c>
      <c r="F447" s="9">
        <f>SUM(F7:F446)</f>
        <v>164160414.23999995</v>
      </c>
    </row>
  </sheetData>
  <autoFilter ref="B6:F446"/>
  <pageMargins left="0.45" right="0.45" top="0.5" bottom="0.5" header="0.3" footer="0.3"/>
  <pageSetup scale="74" orientation="portrait" r:id="rId1"/>
  <colBreaks count="1" manualBreakCount="1">
    <brk id="6" max="446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4:H443"/>
  <sheetViews>
    <sheetView view="pageBreakPreview" topLeftCell="B1" zoomScaleNormal="100" zoomScaleSheetLayoutView="100" workbookViewId="0">
      <selection activeCell="F19" sqref="F19"/>
    </sheetView>
  </sheetViews>
  <sheetFormatPr defaultRowHeight="15"/>
  <cols>
    <col min="1" max="1" width="20.42578125" hidden="1" customWidth="1"/>
    <col min="2" max="2" width="10.7109375" customWidth="1"/>
    <col min="3" max="3" width="12.140625" bestFit="1" customWidth="1"/>
    <col min="4" max="4" width="62.5703125" customWidth="1"/>
    <col min="5" max="6" width="17.7109375" customWidth="1"/>
    <col min="7" max="8" width="16.85546875" hidden="1" customWidth="1"/>
  </cols>
  <sheetData>
    <row r="4" spans="1:8" ht="9" customHeight="1"/>
    <row r="5" spans="1:8" ht="9" customHeight="1"/>
    <row r="6" spans="1:8" ht="30">
      <c r="A6" s="3" t="s">
        <v>1421</v>
      </c>
      <c r="B6" s="3" t="s">
        <v>1429</v>
      </c>
      <c r="C6" s="3" t="s">
        <v>1430</v>
      </c>
      <c r="D6" s="3" t="s">
        <v>1420</v>
      </c>
      <c r="E6" s="3" t="s">
        <v>1428</v>
      </c>
      <c r="F6" s="3" t="s">
        <v>1427</v>
      </c>
      <c r="G6" s="3" t="s">
        <v>1431</v>
      </c>
      <c r="H6" s="3" t="s">
        <v>1432</v>
      </c>
    </row>
    <row r="7" spans="1:8">
      <c r="A7" t="s">
        <v>712</v>
      </c>
      <c r="B7" t="s">
        <v>64</v>
      </c>
      <c r="C7" s="1" t="s">
        <v>63</v>
      </c>
      <c r="D7" t="s">
        <v>1145</v>
      </c>
      <c r="E7" s="2">
        <v>62146.479999999996</v>
      </c>
      <c r="F7" s="2">
        <v>62146.479999999996</v>
      </c>
      <c r="G7" s="2">
        <v>62146.479999999996</v>
      </c>
      <c r="H7" s="2">
        <v>62146.479999999996</v>
      </c>
    </row>
    <row r="8" spans="1:8">
      <c r="A8" t="s">
        <v>713</v>
      </c>
      <c r="B8" t="s">
        <v>25</v>
      </c>
      <c r="C8" s="1" t="s">
        <v>211</v>
      </c>
      <c r="D8" t="s">
        <v>1146</v>
      </c>
      <c r="E8" s="2">
        <v>1798910.8299999998</v>
      </c>
      <c r="F8" s="2">
        <v>418200.85</v>
      </c>
      <c r="G8" s="2">
        <v>1798910.8299999998</v>
      </c>
      <c r="H8" s="2">
        <v>418200.85</v>
      </c>
    </row>
    <row r="9" spans="1:8">
      <c r="A9" t="s">
        <v>714</v>
      </c>
      <c r="B9" t="s">
        <v>25</v>
      </c>
      <c r="C9" s="1" t="s">
        <v>24</v>
      </c>
      <c r="D9" t="s">
        <v>1146</v>
      </c>
      <c r="E9" s="2">
        <v>19869.999999999993</v>
      </c>
      <c r="F9" s="2">
        <v>19870</v>
      </c>
      <c r="G9" s="2">
        <v>19869.999999999993</v>
      </c>
      <c r="H9" s="2">
        <v>19870</v>
      </c>
    </row>
    <row r="10" spans="1:8">
      <c r="A10" t="s">
        <v>715</v>
      </c>
      <c r="B10" t="s">
        <v>705</v>
      </c>
      <c r="C10" s="1" t="s">
        <v>704</v>
      </c>
      <c r="D10" t="s">
        <v>1146</v>
      </c>
      <c r="E10" s="2">
        <v>255</v>
      </c>
      <c r="F10" s="2">
        <v>255</v>
      </c>
      <c r="G10" s="2">
        <v>255</v>
      </c>
      <c r="H10" s="2">
        <v>255</v>
      </c>
    </row>
    <row r="11" spans="1:8">
      <c r="A11" t="s">
        <v>716</v>
      </c>
      <c r="B11" t="s">
        <v>701</v>
      </c>
      <c r="C11" s="1" t="s">
        <v>700</v>
      </c>
      <c r="D11" t="s">
        <v>1146</v>
      </c>
      <c r="E11" s="2">
        <v>255</v>
      </c>
      <c r="F11" s="2">
        <v>255</v>
      </c>
      <c r="G11" s="2">
        <v>255</v>
      </c>
      <c r="H11" s="2">
        <v>255</v>
      </c>
    </row>
    <row r="12" spans="1:8">
      <c r="A12" t="s">
        <v>717</v>
      </c>
      <c r="B12" t="s">
        <v>707</v>
      </c>
      <c r="C12" s="1" t="s">
        <v>706</v>
      </c>
      <c r="D12" t="s">
        <v>1146</v>
      </c>
      <c r="E12" s="2">
        <v>255</v>
      </c>
      <c r="F12" s="2">
        <v>255</v>
      </c>
      <c r="G12" s="2">
        <v>255</v>
      </c>
      <c r="H12" s="2">
        <v>255</v>
      </c>
    </row>
    <row r="13" spans="1:8">
      <c r="A13" t="s">
        <v>718</v>
      </c>
      <c r="B13" t="s">
        <v>469</v>
      </c>
      <c r="C13" s="1" t="s">
        <v>468</v>
      </c>
      <c r="D13" t="s">
        <v>1147</v>
      </c>
      <c r="E13" s="2">
        <v>547319</v>
      </c>
      <c r="F13" s="2">
        <v>508530.83</v>
      </c>
      <c r="G13" s="2">
        <v>547319</v>
      </c>
      <c r="H13" s="2">
        <v>508530.83</v>
      </c>
    </row>
    <row r="14" spans="1:8">
      <c r="A14" t="s">
        <v>719</v>
      </c>
      <c r="B14" t="s">
        <v>469</v>
      </c>
      <c r="C14" s="1" t="s">
        <v>638</v>
      </c>
      <c r="D14" t="s">
        <v>1422</v>
      </c>
      <c r="E14" s="2">
        <v>59759</v>
      </c>
      <c r="F14" s="2">
        <v>19842.7</v>
      </c>
      <c r="G14" s="2">
        <v>59759</v>
      </c>
      <c r="H14" s="2">
        <v>19842.7</v>
      </c>
    </row>
    <row r="15" spans="1:8">
      <c r="A15" t="s">
        <v>720</v>
      </c>
      <c r="B15" t="s">
        <v>292</v>
      </c>
      <c r="C15" s="1" t="s">
        <v>555</v>
      </c>
      <c r="D15" t="s">
        <v>1148</v>
      </c>
      <c r="E15" s="2">
        <v>459173.65</v>
      </c>
      <c r="F15" s="2">
        <v>22832.240000000002</v>
      </c>
      <c r="G15" s="2">
        <v>459173.65</v>
      </c>
      <c r="H15" s="2">
        <v>22832.240000000002</v>
      </c>
    </row>
    <row r="16" spans="1:8">
      <c r="A16" t="s">
        <v>721</v>
      </c>
      <c r="B16" t="s">
        <v>292</v>
      </c>
      <c r="C16" s="1" t="s">
        <v>291</v>
      </c>
      <c r="D16" t="s">
        <v>1148</v>
      </c>
      <c r="E16" s="2">
        <v>57893.07</v>
      </c>
      <c r="F16" s="2">
        <v>41255.42</v>
      </c>
      <c r="G16" s="2">
        <v>57893.07</v>
      </c>
      <c r="H16" s="2">
        <v>41255.42</v>
      </c>
    </row>
    <row r="17" spans="1:8">
      <c r="A17" t="s">
        <v>722</v>
      </c>
      <c r="B17" t="s">
        <v>298</v>
      </c>
      <c r="C17" s="1" t="s">
        <v>621</v>
      </c>
      <c r="D17" t="s">
        <v>1149</v>
      </c>
      <c r="E17" s="2">
        <v>836746.37</v>
      </c>
      <c r="F17" s="2">
        <v>54869.3</v>
      </c>
      <c r="G17" s="2">
        <v>836746.37</v>
      </c>
      <c r="H17" s="2">
        <v>54869.3</v>
      </c>
    </row>
    <row r="18" spans="1:8">
      <c r="A18" t="s">
        <v>723</v>
      </c>
      <c r="B18" t="s">
        <v>298</v>
      </c>
      <c r="C18" s="1" t="s">
        <v>297</v>
      </c>
      <c r="D18" t="s">
        <v>1149</v>
      </c>
      <c r="E18" s="2">
        <v>85668</v>
      </c>
      <c r="F18" s="2">
        <v>40575.39</v>
      </c>
      <c r="G18" s="2">
        <v>81695</v>
      </c>
      <c r="H18" s="2">
        <v>40575.39</v>
      </c>
    </row>
    <row r="19" spans="1:8">
      <c r="A19" t="s">
        <v>724</v>
      </c>
      <c r="B19" t="s">
        <v>251</v>
      </c>
      <c r="C19" s="1" t="s">
        <v>250</v>
      </c>
      <c r="D19" t="s">
        <v>1150</v>
      </c>
      <c r="E19" s="2">
        <v>1045346.1500000001</v>
      </c>
      <c r="F19" s="2">
        <v>1031978.16</v>
      </c>
      <c r="G19" s="2">
        <v>1045346.1500000001</v>
      </c>
      <c r="H19" s="2">
        <v>1031978.16</v>
      </c>
    </row>
    <row r="20" spans="1:8">
      <c r="A20" t="s">
        <v>725</v>
      </c>
      <c r="B20" t="s">
        <v>5</v>
      </c>
      <c r="C20" s="1" t="s">
        <v>4</v>
      </c>
      <c r="D20" t="s">
        <v>1151</v>
      </c>
      <c r="E20" s="2">
        <v>573931.85</v>
      </c>
      <c r="F20" s="2">
        <v>174789.86000000002</v>
      </c>
      <c r="G20" s="2">
        <v>573931.85</v>
      </c>
      <c r="H20" s="2">
        <v>204619.86000000002</v>
      </c>
    </row>
    <row r="21" spans="1:8">
      <c r="A21" t="s">
        <v>726</v>
      </c>
      <c r="B21" t="s">
        <v>47</v>
      </c>
      <c r="C21" s="1" t="s">
        <v>46</v>
      </c>
      <c r="D21" t="s">
        <v>1152</v>
      </c>
      <c r="E21" s="2">
        <v>1213342.5</v>
      </c>
      <c r="F21" s="2">
        <v>458892.32999999996</v>
      </c>
      <c r="G21" s="2">
        <v>1213342.5</v>
      </c>
      <c r="H21" s="2">
        <v>1213342.5</v>
      </c>
    </row>
    <row r="22" spans="1:8">
      <c r="A22" t="s">
        <v>727</v>
      </c>
      <c r="B22" t="s">
        <v>56</v>
      </c>
      <c r="C22" s="1" t="s">
        <v>55</v>
      </c>
      <c r="D22" t="s">
        <v>1153</v>
      </c>
      <c r="E22" s="2">
        <v>634977.99999999977</v>
      </c>
      <c r="F22" s="2">
        <v>210210.34</v>
      </c>
      <c r="G22" s="2">
        <v>634977.99999999977</v>
      </c>
      <c r="H22" s="2">
        <v>71898.999999999971</v>
      </c>
    </row>
    <row r="23" spans="1:8">
      <c r="A23" t="s">
        <v>728</v>
      </c>
      <c r="B23" t="s">
        <v>35</v>
      </c>
      <c r="C23" s="1" t="s">
        <v>34</v>
      </c>
      <c r="D23" t="s">
        <v>1154</v>
      </c>
      <c r="E23" s="2">
        <v>1624485.0000000002</v>
      </c>
      <c r="F23" s="2">
        <v>528628.82999999996</v>
      </c>
      <c r="G23" s="2">
        <v>1624485.0000000002</v>
      </c>
      <c r="H23" s="2">
        <v>35906</v>
      </c>
    </row>
    <row r="24" spans="1:8">
      <c r="A24" t="s">
        <v>729</v>
      </c>
      <c r="B24" t="s">
        <v>518</v>
      </c>
      <c r="C24" s="1" t="s">
        <v>519</v>
      </c>
      <c r="D24" t="s">
        <v>1155</v>
      </c>
      <c r="E24" s="2">
        <v>124280.8599999999</v>
      </c>
      <c r="F24" s="2">
        <v>124280.86</v>
      </c>
      <c r="G24" s="2">
        <v>124280.8599999999</v>
      </c>
      <c r="H24" s="2">
        <v>124280.86</v>
      </c>
    </row>
    <row r="25" spans="1:8">
      <c r="A25" t="s">
        <v>730</v>
      </c>
      <c r="B25" t="s">
        <v>518</v>
      </c>
      <c r="C25" s="1" t="s">
        <v>517</v>
      </c>
      <c r="D25" t="s">
        <v>1156</v>
      </c>
      <c r="E25" s="2">
        <v>268512.08</v>
      </c>
      <c r="F25" s="2">
        <v>268512.08</v>
      </c>
      <c r="G25" s="2">
        <v>268512.08</v>
      </c>
      <c r="H25" s="2">
        <v>268512.08</v>
      </c>
    </row>
    <row r="26" spans="1:8">
      <c r="A26" t="s">
        <v>731</v>
      </c>
      <c r="B26" t="s">
        <v>96</v>
      </c>
      <c r="C26" s="1" t="s">
        <v>95</v>
      </c>
      <c r="D26" t="s">
        <v>1157</v>
      </c>
      <c r="E26" s="2">
        <v>2993357.45</v>
      </c>
      <c r="F26" s="2">
        <v>2906594.5499999993</v>
      </c>
      <c r="G26" s="2">
        <v>2993357.45</v>
      </c>
      <c r="H26" s="2">
        <v>2906594.5499999993</v>
      </c>
    </row>
    <row r="27" spans="1:8">
      <c r="A27" t="s">
        <v>732</v>
      </c>
      <c r="B27" t="s">
        <v>545</v>
      </c>
      <c r="C27" s="1" t="s">
        <v>544</v>
      </c>
      <c r="D27" t="s">
        <v>1158</v>
      </c>
      <c r="E27" s="2">
        <v>1000</v>
      </c>
      <c r="F27" s="2">
        <v>1000</v>
      </c>
      <c r="G27" s="2">
        <v>1000</v>
      </c>
      <c r="H27" s="2">
        <v>1000</v>
      </c>
    </row>
    <row r="28" spans="1:8">
      <c r="A28" t="s">
        <v>733</v>
      </c>
      <c r="B28" t="s">
        <v>657</v>
      </c>
      <c r="C28" s="1" t="s">
        <v>656</v>
      </c>
      <c r="D28" t="s">
        <v>1159</v>
      </c>
      <c r="E28" s="2">
        <v>7983.58</v>
      </c>
      <c r="F28" s="2">
        <v>7983.58</v>
      </c>
      <c r="G28" s="2">
        <v>7983.58</v>
      </c>
      <c r="H28" s="2">
        <v>7983.58</v>
      </c>
    </row>
    <row r="29" spans="1:8">
      <c r="A29" t="s">
        <v>734</v>
      </c>
      <c r="B29" t="s">
        <v>600</v>
      </c>
      <c r="C29" s="1" t="s">
        <v>599</v>
      </c>
      <c r="D29" t="s">
        <v>1160</v>
      </c>
      <c r="E29" s="2">
        <v>1000</v>
      </c>
      <c r="F29" s="2">
        <v>1000</v>
      </c>
      <c r="G29" s="2">
        <v>1000</v>
      </c>
      <c r="H29" s="2">
        <v>1000</v>
      </c>
    </row>
    <row r="30" spans="1:8">
      <c r="A30" t="s">
        <v>735</v>
      </c>
      <c r="B30" t="s">
        <v>591</v>
      </c>
      <c r="C30" s="1" t="s">
        <v>590</v>
      </c>
      <c r="D30" t="s">
        <v>1161</v>
      </c>
      <c r="E30" s="2">
        <v>5500</v>
      </c>
      <c r="F30" s="2">
        <v>5500</v>
      </c>
      <c r="G30" s="2">
        <v>5500</v>
      </c>
      <c r="H30" s="2">
        <v>5500</v>
      </c>
    </row>
    <row r="31" spans="1:8">
      <c r="A31" t="s">
        <v>736</v>
      </c>
      <c r="B31" t="s">
        <v>602</v>
      </c>
      <c r="C31" s="1" t="s">
        <v>601</v>
      </c>
      <c r="D31" t="s">
        <v>1162</v>
      </c>
      <c r="E31" s="2">
        <v>2000</v>
      </c>
      <c r="F31" s="2">
        <v>2000</v>
      </c>
      <c r="G31" s="2">
        <v>2000</v>
      </c>
      <c r="H31" s="2">
        <v>2000</v>
      </c>
    </row>
    <row r="32" spans="1:8">
      <c r="A32" t="s">
        <v>737</v>
      </c>
      <c r="B32" t="s">
        <v>541</v>
      </c>
      <c r="C32" s="1" t="s">
        <v>540</v>
      </c>
      <c r="D32" t="s">
        <v>1163</v>
      </c>
      <c r="E32" s="2">
        <v>1500</v>
      </c>
      <c r="F32" s="2">
        <v>0</v>
      </c>
      <c r="G32" s="2">
        <v>1500</v>
      </c>
      <c r="H32" s="2">
        <v>0</v>
      </c>
    </row>
    <row r="33" spans="1:8">
      <c r="A33" t="s">
        <v>738</v>
      </c>
      <c r="B33" t="s">
        <v>613</v>
      </c>
      <c r="C33" s="1" t="s">
        <v>612</v>
      </c>
      <c r="D33" t="s">
        <v>1164</v>
      </c>
      <c r="E33" s="2">
        <v>1000</v>
      </c>
      <c r="F33" s="2">
        <v>0</v>
      </c>
      <c r="G33" s="2">
        <v>1000</v>
      </c>
      <c r="H33" s="2">
        <v>0</v>
      </c>
    </row>
    <row r="34" spans="1:8">
      <c r="A34" t="s">
        <v>739</v>
      </c>
      <c r="B34" t="s">
        <v>87</v>
      </c>
      <c r="C34" s="1" t="s">
        <v>86</v>
      </c>
      <c r="D34" t="s">
        <v>1165</v>
      </c>
      <c r="E34" s="2">
        <v>1000</v>
      </c>
      <c r="F34" s="2">
        <v>0</v>
      </c>
      <c r="G34" s="2">
        <v>1000</v>
      </c>
      <c r="H34" s="2">
        <v>0</v>
      </c>
    </row>
    <row r="35" spans="1:8">
      <c r="A35" t="s">
        <v>740</v>
      </c>
      <c r="B35" t="s">
        <v>574</v>
      </c>
      <c r="C35" s="1" t="s">
        <v>573</v>
      </c>
      <c r="D35" t="s">
        <v>1166</v>
      </c>
      <c r="E35" s="2">
        <v>900</v>
      </c>
      <c r="F35" s="2">
        <v>0</v>
      </c>
      <c r="G35" s="2">
        <v>900</v>
      </c>
      <c r="H35" s="2">
        <v>0</v>
      </c>
    </row>
    <row r="36" spans="1:8">
      <c r="A36" t="s">
        <v>741</v>
      </c>
      <c r="B36" t="s">
        <v>217</v>
      </c>
      <c r="C36" s="1" t="s">
        <v>216</v>
      </c>
      <c r="D36" t="s">
        <v>1167</v>
      </c>
      <c r="E36" s="2">
        <v>978214.64</v>
      </c>
      <c r="F36" s="2">
        <v>884104.71</v>
      </c>
      <c r="G36" s="2">
        <v>974043.06</v>
      </c>
      <c r="H36" s="2">
        <v>884104.71</v>
      </c>
    </row>
    <row r="37" spans="1:8">
      <c r="A37" t="s">
        <v>742</v>
      </c>
      <c r="B37" t="s">
        <v>217</v>
      </c>
      <c r="C37" s="1" t="s">
        <v>598</v>
      </c>
      <c r="D37" t="s">
        <v>1168</v>
      </c>
      <c r="E37" s="2">
        <v>1500</v>
      </c>
      <c r="F37" s="2">
        <v>925</v>
      </c>
      <c r="G37" s="2">
        <v>1500</v>
      </c>
      <c r="H37" s="2">
        <v>925</v>
      </c>
    </row>
    <row r="38" spans="1:8">
      <c r="A38" t="s">
        <v>743</v>
      </c>
      <c r="B38" t="s">
        <v>41</v>
      </c>
      <c r="C38" s="1" t="s">
        <v>40</v>
      </c>
      <c r="D38" t="s">
        <v>1169</v>
      </c>
      <c r="E38" s="2">
        <v>34530</v>
      </c>
      <c r="F38" s="2">
        <v>30248.720000000001</v>
      </c>
      <c r="G38" s="2">
        <v>34530</v>
      </c>
      <c r="H38" s="2">
        <v>30248.720000000001</v>
      </c>
    </row>
    <row r="39" spans="1:8">
      <c r="A39" t="s">
        <v>744</v>
      </c>
      <c r="B39" t="s">
        <v>561</v>
      </c>
      <c r="C39" s="1" t="s">
        <v>681</v>
      </c>
      <c r="D39" t="s">
        <v>1170</v>
      </c>
      <c r="E39" s="2">
        <v>15146</v>
      </c>
      <c r="F39" s="2">
        <v>15146</v>
      </c>
      <c r="G39" s="2">
        <v>15146</v>
      </c>
      <c r="H39" s="2">
        <v>15146</v>
      </c>
    </row>
    <row r="40" spans="1:8">
      <c r="A40" t="s">
        <v>745</v>
      </c>
      <c r="B40" t="s">
        <v>561</v>
      </c>
      <c r="C40" s="1" t="s">
        <v>683</v>
      </c>
      <c r="D40" t="s">
        <v>1171</v>
      </c>
      <c r="E40" s="2">
        <v>15146</v>
      </c>
      <c r="F40" s="2">
        <v>15146</v>
      </c>
      <c r="G40" s="2">
        <v>15146</v>
      </c>
      <c r="H40" s="2">
        <v>15146</v>
      </c>
    </row>
    <row r="41" spans="1:8">
      <c r="A41" t="s">
        <v>746</v>
      </c>
      <c r="B41" t="s">
        <v>561</v>
      </c>
      <c r="C41" s="1" t="s">
        <v>682</v>
      </c>
      <c r="D41" t="s">
        <v>1171</v>
      </c>
      <c r="E41" s="2">
        <v>25261</v>
      </c>
      <c r="F41" s="2">
        <v>25261</v>
      </c>
      <c r="G41" s="2">
        <v>25261</v>
      </c>
      <c r="H41" s="2">
        <v>25261</v>
      </c>
    </row>
    <row r="42" spans="1:8">
      <c r="A42" t="s">
        <v>747</v>
      </c>
      <c r="B42" t="s">
        <v>561</v>
      </c>
      <c r="C42" s="1" t="s">
        <v>684</v>
      </c>
      <c r="D42" t="s">
        <v>1171</v>
      </c>
      <c r="E42" s="2">
        <v>25150</v>
      </c>
      <c r="F42" s="2">
        <v>25150</v>
      </c>
      <c r="G42" s="2">
        <v>25150</v>
      </c>
      <c r="H42" s="2">
        <v>25150</v>
      </c>
    </row>
    <row r="43" spans="1:8">
      <c r="A43" t="s">
        <v>748</v>
      </c>
      <c r="B43" t="s">
        <v>561</v>
      </c>
      <c r="C43" s="1" t="s">
        <v>658</v>
      </c>
      <c r="D43" t="s">
        <v>1171</v>
      </c>
      <c r="E43" s="2">
        <v>48370</v>
      </c>
      <c r="F43" s="2">
        <v>48370</v>
      </c>
      <c r="G43" s="2">
        <v>48370</v>
      </c>
      <c r="H43" s="2">
        <v>48370</v>
      </c>
    </row>
    <row r="44" spans="1:8">
      <c r="A44" t="s">
        <v>749</v>
      </c>
      <c r="B44" t="s">
        <v>561</v>
      </c>
      <c r="C44" s="1" t="s">
        <v>663</v>
      </c>
      <c r="D44" t="s">
        <v>1171</v>
      </c>
      <c r="E44" s="2">
        <v>72807.649999999994</v>
      </c>
      <c r="F44" s="2">
        <v>72807.649999999994</v>
      </c>
      <c r="G44" s="2">
        <v>72807.649999999994</v>
      </c>
      <c r="H44" s="2">
        <v>72807.649999999994</v>
      </c>
    </row>
    <row r="45" spans="1:8">
      <c r="A45" t="s">
        <v>750</v>
      </c>
      <c r="B45" t="s">
        <v>561</v>
      </c>
      <c r="C45" s="1" t="s">
        <v>560</v>
      </c>
      <c r="D45" t="s">
        <v>1172</v>
      </c>
      <c r="E45" s="2">
        <v>2860</v>
      </c>
      <c r="F45" s="2">
        <v>2860</v>
      </c>
      <c r="G45" s="2">
        <v>2860</v>
      </c>
      <c r="H45" s="2">
        <v>2860</v>
      </c>
    </row>
    <row r="46" spans="1:8">
      <c r="A46" t="s">
        <v>751</v>
      </c>
      <c r="B46" t="s">
        <v>515</v>
      </c>
      <c r="C46" s="1" t="s">
        <v>514</v>
      </c>
      <c r="D46" t="s">
        <v>1173</v>
      </c>
      <c r="E46" s="2">
        <v>18100</v>
      </c>
      <c r="F46" s="2">
        <v>15369</v>
      </c>
      <c r="G46" s="2">
        <v>18100</v>
      </c>
      <c r="H46" s="2">
        <v>15369</v>
      </c>
    </row>
    <row r="47" spans="1:8">
      <c r="A47" t="s">
        <v>752</v>
      </c>
      <c r="B47" t="s">
        <v>400</v>
      </c>
      <c r="C47" s="1" t="s">
        <v>399</v>
      </c>
      <c r="D47" t="s">
        <v>1174</v>
      </c>
      <c r="E47" s="2">
        <v>27375</v>
      </c>
      <c r="F47" s="2">
        <v>27375</v>
      </c>
      <c r="G47" s="2">
        <v>27375</v>
      </c>
      <c r="H47" s="2">
        <v>27375</v>
      </c>
    </row>
    <row r="48" spans="1:8">
      <c r="A48" t="s">
        <v>753</v>
      </c>
      <c r="B48" t="s">
        <v>557</v>
      </c>
      <c r="C48" s="1" t="s">
        <v>556</v>
      </c>
      <c r="D48" t="s">
        <v>1175</v>
      </c>
      <c r="E48" s="2">
        <v>1000</v>
      </c>
      <c r="F48" s="2">
        <v>0</v>
      </c>
      <c r="G48" s="2">
        <v>1000</v>
      </c>
      <c r="H48" s="2">
        <v>0</v>
      </c>
    </row>
    <row r="49" spans="1:8">
      <c r="A49" t="s">
        <v>754</v>
      </c>
      <c r="B49" t="s">
        <v>511</v>
      </c>
      <c r="C49" s="1" t="s">
        <v>510</v>
      </c>
      <c r="D49" t="s">
        <v>1176</v>
      </c>
      <c r="E49" s="2">
        <v>1870214.0099999998</v>
      </c>
      <c r="F49" s="2">
        <v>1729037.79</v>
      </c>
      <c r="G49" s="2">
        <v>1870214.0099999998</v>
      </c>
      <c r="H49" s="2">
        <v>1729037.79</v>
      </c>
    </row>
    <row r="50" spans="1:8">
      <c r="A50" t="s">
        <v>755</v>
      </c>
      <c r="B50" t="s">
        <v>551</v>
      </c>
      <c r="C50" s="1" t="s">
        <v>550</v>
      </c>
      <c r="D50" t="s">
        <v>1177</v>
      </c>
      <c r="E50" s="2">
        <v>4535</v>
      </c>
      <c r="F50" s="2">
        <v>4535</v>
      </c>
      <c r="G50" s="2">
        <v>4535</v>
      </c>
      <c r="H50" s="2">
        <v>4535</v>
      </c>
    </row>
    <row r="51" spans="1:8">
      <c r="A51" t="s">
        <v>756</v>
      </c>
      <c r="B51" t="s">
        <v>424</v>
      </c>
      <c r="C51" s="1" t="s">
        <v>423</v>
      </c>
      <c r="D51" t="s">
        <v>1178</v>
      </c>
      <c r="E51" s="2">
        <v>12970</v>
      </c>
      <c r="F51" s="2">
        <v>3240</v>
      </c>
      <c r="G51" s="2">
        <v>12970</v>
      </c>
      <c r="H51" s="2">
        <v>3240</v>
      </c>
    </row>
    <row r="52" spans="1:8">
      <c r="A52" t="s">
        <v>757</v>
      </c>
      <c r="B52" t="s">
        <v>261</v>
      </c>
      <c r="C52" s="1" t="s">
        <v>260</v>
      </c>
      <c r="D52" t="s">
        <v>1179</v>
      </c>
      <c r="E52" s="2">
        <v>1420896.0100000002</v>
      </c>
      <c r="F52" s="2">
        <v>391863.38</v>
      </c>
      <c r="G52" s="2">
        <v>1420896.0100000002</v>
      </c>
      <c r="H52" s="2">
        <v>536734.28</v>
      </c>
    </row>
    <row r="53" spans="1:8">
      <c r="A53" t="s">
        <v>758</v>
      </c>
      <c r="B53" t="s">
        <v>524</v>
      </c>
      <c r="C53" s="1" t="s">
        <v>523</v>
      </c>
      <c r="D53" t="s">
        <v>1180</v>
      </c>
      <c r="E53" s="2">
        <v>81245.490000000005</v>
      </c>
      <c r="F53" s="2">
        <v>81245.490000000005</v>
      </c>
      <c r="G53" s="2">
        <v>81245.490000000005</v>
      </c>
      <c r="H53" s="2">
        <v>81245.490000000005</v>
      </c>
    </row>
    <row r="54" spans="1:8">
      <c r="A54" t="s">
        <v>759</v>
      </c>
      <c r="B54" t="s">
        <v>675</v>
      </c>
      <c r="C54" s="1" t="s">
        <v>674</v>
      </c>
      <c r="D54" t="s">
        <v>1181</v>
      </c>
      <c r="E54" s="2">
        <v>203859</v>
      </c>
      <c r="F54" s="2">
        <v>203859</v>
      </c>
      <c r="G54" s="2">
        <v>203859</v>
      </c>
      <c r="H54" s="2">
        <v>203859</v>
      </c>
    </row>
    <row r="55" spans="1:8">
      <c r="A55" t="s">
        <v>760</v>
      </c>
      <c r="B55" t="s">
        <v>125</v>
      </c>
      <c r="C55" s="1" t="s">
        <v>124</v>
      </c>
      <c r="D55" t="s">
        <v>1182</v>
      </c>
      <c r="E55" s="2">
        <v>1361203.6900000006</v>
      </c>
      <c r="F55" s="2">
        <v>1361203.69</v>
      </c>
      <c r="G55" s="2">
        <v>1361203.6900000006</v>
      </c>
      <c r="H55" s="2">
        <v>1361203.69</v>
      </c>
    </row>
    <row r="56" spans="1:8">
      <c r="A56" t="s">
        <v>761</v>
      </c>
      <c r="B56" t="s">
        <v>81</v>
      </c>
      <c r="C56" s="1" t="s">
        <v>80</v>
      </c>
      <c r="D56" t="s">
        <v>1183</v>
      </c>
      <c r="E56" s="2">
        <v>562601.29999999993</v>
      </c>
      <c r="F56" s="2">
        <v>562601.30000000005</v>
      </c>
      <c r="G56" s="2">
        <v>562601.29999999993</v>
      </c>
      <c r="H56" s="2">
        <v>562601.30000000005</v>
      </c>
    </row>
    <row r="57" spans="1:8">
      <c r="A57" t="s">
        <v>762</v>
      </c>
      <c r="B57" t="s">
        <v>699</v>
      </c>
      <c r="C57" s="1" t="s">
        <v>698</v>
      </c>
      <c r="D57" t="s">
        <v>1184</v>
      </c>
      <c r="E57" s="2">
        <v>729819.60000000009</v>
      </c>
      <c r="F57" s="2">
        <v>729819.6</v>
      </c>
      <c r="G57" s="2">
        <v>729819.60000000009</v>
      </c>
      <c r="H57" s="2">
        <v>729819.6</v>
      </c>
    </row>
    <row r="58" spans="1:8">
      <c r="A58" t="s">
        <v>763</v>
      </c>
      <c r="B58" t="s">
        <v>133</v>
      </c>
      <c r="C58" s="1" t="s">
        <v>132</v>
      </c>
      <c r="D58" t="s">
        <v>1185</v>
      </c>
      <c r="E58" s="2">
        <v>1583243.3800000001</v>
      </c>
      <c r="F58" s="2">
        <v>1583243.38</v>
      </c>
      <c r="G58" s="2">
        <v>1583243.3800000001</v>
      </c>
      <c r="H58" s="2">
        <v>1583243.38</v>
      </c>
    </row>
    <row r="59" spans="1:8">
      <c r="A59" t="s">
        <v>764</v>
      </c>
      <c r="B59" t="s">
        <v>107</v>
      </c>
      <c r="C59" s="1" t="s">
        <v>106</v>
      </c>
      <c r="D59" t="s">
        <v>1186</v>
      </c>
      <c r="E59" s="2">
        <v>1854415.73</v>
      </c>
      <c r="F59" s="2">
        <v>1854415.73</v>
      </c>
      <c r="G59" s="2">
        <v>1854415.73</v>
      </c>
      <c r="H59" s="2">
        <v>1854415.73</v>
      </c>
    </row>
    <row r="60" spans="1:8">
      <c r="A60" t="s">
        <v>765</v>
      </c>
      <c r="B60" t="s">
        <v>137</v>
      </c>
      <c r="C60" s="1" t="s">
        <v>136</v>
      </c>
      <c r="D60" t="s">
        <v>1187</v>
      </c>
      <c r="E60" s="2">
        <v>506399.42000000016</v>
      </c>
      <c r="F60" s="2">
        <v>506399.42</v>
      </c>
      <c r="G60" s="2">
        <v>506399.42000000016</v>
      </c>
      <c r="H60" s="2">
        <v>506399.42</v>
      </c>
    </row>
    <row r="61" spans="1:8">
      <c r="A61" t="s">
        <v>766</v>
      </c>
      <c r="B61" t="s">
        <v>141</v>
      </c>
      <c r="C61" s="1" t="s">
        <v>140</v>
      </c>
      <c r="D61" t="s">
        <v>1188</v>
      </c>
      <c r="E61" s="2">
        <v>400035.49999999994</v>
      </c>
      <c r="F61" s="2">
        <v>400035.5</v>
      </c>
      <c r="G61" s="2">
        <v>400035.49999999994</v>
      </c>
      <c r="H61" s="2">
        <v>400035.5</v>
      </c>
    </row>
    <row r="62" spans="1:8">
      <c r="A62" t="s">
        <v>767</v>
      </c>
      <c r="B62" t="s">
        <v>100</v>
      </c>
      <c r="C62" s="1" t="s">
        <v>99</v>
      </c>
      <c r="D62" t="s">
        <v>1189</v>
      </c>
      <c r="E62" s="2">
        <v>1247644.27</v>
      </c>
      <c r="F62" s="2">
        <v>1247644.27</v>
      </c>
      <c r="G62" s="2">
        <v>1247644.27</v>
      </c>
      <c r="H62" s="2">
        <v>1247644.27</v>
      </c>
    </row>
    <row r="63" spans="1:8">
      <c r="A63" t="s">
        <v>768</v>
      </c>
      <c r="B63" t="s">
        <v>677</v>
      </c>
      <c r="C63" s="1" t="s">
        <v>676</v>
      </c>
      <c r="D63" t="s">
        <v>1190</v>
      </c>
      <c r="E63" s="2">
        <v>286062</v>
      </c>
      <c r="F63" s="2">
        <v>286062</v>
      </c>
      <c r="G63" s="2">
        <v>286062</v>
      </c>
      <c r="H63" s="2">
        <v>286062</v>
      </c>
    </row>
    <row r="64" spans="1:8">
      <c r="A64" t="s">
        <v>769</v>
      </c>
      <c r="B64" t="s">
        <v>143</v>
      </c>
      <c r="C64" s="1" t="s">
        <v>142</v>
      </c>
      <c r="D64" t="s">
        <v>1191</v>
      </c>
      <c r="E64" s="2">
        <v>2226853.5299999993</v>
      </c>
      <c r="F64" s="2">
        <v>2226853.5300000003</v>
      </c>
      <c r="G64" s="2">
        <v>2226853.5299999993</v>
      </c>
      <c r="H64" s="2">
        <v>2226853.5300000003</v>
      </c>
    </row>
    <row r="65" spans="1:8">
      <c r="A65" t="s">
        <v>770</v>
      </c>
      <c r="B65" t="s">
        <v>679</v>
      </c>
      <c r="C65" s="1" t="s">
        <v>678</v>
      </c>
      <c r="D65" t="s">
        <v>1192</v>
      </c>
      <c r="E65" s="2">
        <v>248029</v>
      </c>
      <c r="F65" s="2">
        <v>248029</v>
      </c>
      <c r="G65" s="2">
        <v>248029</v>
      </c>
      <c r="H65" s="2">
        <v>248029</v>
      </c>
    </row>
    <row r="66" spans="1:8">
      <c r="A66" t="s">
        <v>771</v>
      </c>
      <c r="B66" t="s">
        <v>480</v>
      </c>
      <c r="C66" s="1" t="s">
        <v>479</v>
      </c>
      <c r="D66" t="s">
        <v>1193</v>
      </c>
      <c r="E66" s="2">
        <v>92968.56</v>
      </c>
      <c r="F66" s="2">
        <v>92968.56</v>
      </c>
      <c r="G66" s="2">
        <v>92968.56</v>
      </c>
      <c r="H66" s="2">
        <v>92968.56</v>
      </c>
    </row>
    <row r="67" spans="1:8">
      <c r="A67" t="s">
        <v>772</v>
      </c>
      <c r="B67" t="s">
        <v>102</v>
      </c>
      <c r="C67" s="1" t="s">
        <v>101</v>
      </c>
      <c r="D67" t="s">
        <v>1194</v>
      </c>
      <c r="E67" s="2">
        <v>1011546.2599999998</v>
      </c>
      <c r="F67" s="2">
        <v>1011546.2599999999</v>
      </c>
      <c r="G67" s="2">
        <v>1011546.2599999998</v>
      </c>
      <c r="H67" s="2">
        <v>1011546.2599999999</v>
      </c>
    </row>
    <row r="68" spans="1:8">
      <c r="A68" t="s">
        <v>773</v>
      </c>
      <c r="B68" t="s">
        <v>93</v>
      </c>
      <c r="C68" s="1" t="s">
        <v>92</v>
      </c>
      <c r="D68" t="s">
        <v>1195</v>
      </c>
      <c r="E68" s="2">
        <v>322613.74000000011</v>
      </c>
      <c r="F68" s="2">
        <v>322613.74</v>
      </c>
      <c r="G68" s="2">
        <v>322613.74000000011</v>
      </c>
      <c r="H68" s="2">
        <v>322613.74</v>
      </c>
    </row>
    <row r="69" spans="1:8">
      <c r="A69" t="s">
        <v>774</v>
      </c>
      <c r="B69" t="s">
        <v>402</v>
      </c>
      <c r="C69" s="1" t="s">
        <v>401</v>
      </c>
      <c r="D69" t="s">
        <v>1196</v>
      </c>
      <c r="E69" s="2">
        <v>86914.78</v>
      </c>
      <c r="F69" s="2">
        <v>56743.199999999997</v>
      </c>
      <c r="G69" s="2">
        <v>86914.78</v>
      </c>
      <c r="H69" s="2">
        <v>69345.440000000002</v>
      </c>
    </row>
    <row r="70" spans="1:8">
      <c r="A70" t="s">
        <v>775</v>
      </c>
      <c r="B70" t="s">
        <v>543</v>
      </c>
      <c r="C70" s="1" t="s">
        <v>542</v>
      </c>
      <c r="D70" t="s">
        <v>1197</v>
      </c>
      <c r="E70" s="2">
        <v>19531</v>
      </c>
      <c r="F70" s="2">
        <v>450</v>
      </c>
      <c r="G70" s="2">
        <v>19531</v>
      </c>
      <c r="H70" s="2">
        <v>450</v>
      </c>
    </row>
    <row r="71" spans="1:8">
      <c r="A71" t="s">
        <v>776</v>
      </c>
      <c r="B71" t="s">
        <v>589</v>
      </c>
      <c r="C71" s="1" t="s">
        <v>588</v>
      </c>
      <c r="D71" t="s">
        <v>1198</v>
      </c>
      <c r="E71" s="2">
        <v>74212</v>
      </c>
      <c r="F71" s="2">
        <v>0</v>
      </c>
      <c r="G71" s="2">
        <v>74212</v>
      </c>
      <c r="H71" s="2">
        <v>0</v>
      </c>
    </row>
    <row r="72" spans="1:8">
      <c r="A72" t="s">
        <v>777</v>
      </c>
      <c r="B72" t="s">
        <v>565</v>
      </c>
      <c r="C72" s="1" t="s">
        <v>564</v>
      </c>
      <c r="D72" t="s">
        <v>1199</v>
      </c>
      <c r="E72" s="2">
        <v>102925</v>
      </c>
      <c r="F72" s="2">
        <v>0</v>
      </c>
      <c r="G72" s="2">
        <v>102925</v>
      </c>
      <c r="H72" s="2">
        <v>0</v>
      </c>
    </row>
    <row r="73" spans="1:8">
      <c r="A73" t="s">
        <v>778</v>
      </c>
      <c r="B73" t="s">
        <v>121</v>
      </c>
      <c r="C73" s="1" t="s">
        <v>301</v>
      </c>
      <c r="D73" t="s">
        <v>1200</v>
      </c>
      <c r="E73" s="2">
        <v>9486448.0000000019</v>
      </c>
      <c r="F73" s="2">
        <v>9416218.3399999943</v>
      </c>
      <c r="G73" s="2">
        <v>9486448.0000000019</v>
      </c>
      <c r="H73" s="2">
        <v>9416218.3399999943</v>
      </c>
    </row>
    <row r="74" spans="1:8">
      <c r="A74" t="s">
        <v>779</v>
      </c>
      <c r="B74" t="s">
        <v>121</v>
      </c>
      <c r="C74" s="1" t="s">
        <v>120</v>
      </c>
      <c r="D74" t="s">
        <v>1200</v>
      </c>
      <c r="E74" s="2">
        <v>2387896.069999997</v>
      </c>
      <c r="F74" s="2">
        <v>2300590.34</v>
      </c>
      <c r="G74" s="2">
        <v>2387896.069999997</v>
      </c>
      <c r="H74" s="2">
        <v>2300590.34</v>
      </c>
    </row>
    <row r="75" spans="1:8">
      <c r="A75" t="s">
        <v>780</v>
      </c>
      <c r="B75" t="s">
        <v>611</v>
      </c>
      <c r="C75" s="1" t="s">
        <v>610</v>
      </c>
      <c r="D75" t="s">
        <v>1201</v>
      </c>
      <c r="E75" s="2">
        <v>39614</v>
      </c>
      <c r="F75" s="2">
        <v>6735.5</v>
      </c>
      <c r="G75" s="2">
        <v>39614</v>
      </c>
      <c r="H75" s="2">
        <v>6735.5</v>
      </c>
    </row>
    <row r="76" spans="1:8">
      <c r="A76" t="s">
        <v>781</v>
      </c>
      <c r="B76" t="s">
        <v>631</v>
      </c>
      <c r="C76" s="1" t="s">
        <v>652</v>
      </c>
      <c r="D76" t="s">
        <v>1202</v>
      </c>
      <c r="E76" s="2">
        <v>199760.56</v>
      </c>
      <c r="F76" s="2">
        <v>8289.9</v>
      </c>
      <c r="G76" s="2">
        <v>199760.56</v>
      </c>
      <c r="H76" s="2">
        <v>8289.9</v>
      </c>
    </row>
    <row r="77" spans="1:8">
      <c r="A77" t="s">
        <v>782</v>
      </c>
      <c r="B77" t="s">
        <v>597</v>
      </c>
      <c r="C77" s="1" t="s">
        <v>596</v>
      </c>
      <c r="D77" t="s">
        <v>1203</v>
      </c>
      <c r="E77" s="2">
        <v>26383</v>
      </c>
      <c r="F77" s="2">
        <v>7877.2</v>
      </c>
      <c r="G77" s="2">
        <v>26383</v>
      </c>
      <c r="H77" s="2">
        <v>7877.2</v>
      </c>
    </row>
    <row r="78" spans="1:8">
      <c r="A78" t="s">
        <v>783</v>
      </c>
      <c r="B78" t="s">
        <v>164</v>
      </c>
      <c r="C78" s="1" t="s">
        <v>163</v>
      </c>
      <c r="D78" t="s">
        <v>1204</v>
      </c>
      <c r="E78" s="2">
        <v>859835</v>
      </c>
      <c r="F78" s="2">
        <v>859835</v>
      </c>
      <c r="G78" s="2">
        <v>859835</v>
      </c>
      <c r="H78" s="2">
        <v>859835</v>
      </c>
    </row>
    <row r="79" spans="1:8">
      <c r="A79" t="s">
        <v>784</v>
      </c>
      <c r="B79" t="s">
        <v>583</v>
      </c>
      <c r="C79" s="1" t="s">
        <v>582</v>
      </c>
      <c r="D79" t="s">
        <v>1205</v>
      </c>
      <c r="E79" s="2">
        <v>109605</v>
      </c>
      <c r="F79" s="2">
        <v>22524</v>
      </c>
      <c r="G79" s="2">
        <v>109605</v>
      </c>
      <c r="H79" s="2">
        <v>22524</v>
      </c>
    </row>
    <row r="80" spans="1:8">
      <c r="A80" t="s">
        <v>785</v>
      </c>
      <c r="B80" t="s">
        <v>587</v>
      </c>
      <c r="C80" s="1" t="s">
        <v>586</v>
      </c>
      <c r="D80" t="s">
        <v>1206</v>
      </c>
      <c r="E80" s="2">
        <v>27739</v>
      </c>
      <c r="F80" s="2">
        <v>25049</v>
      </c>
      <c r="G80" s="2">
        <v>27739</v>
      </c>
      <c r="H80" s="2">
        <v>25049</v>
      </c>
    </row>
    <row r="81" spans="1:8">
      <c r="A81" t="s">
        <v>786</v>
      </c>
      <c r="B81" t="s">
        <v>579</v>
      </c>
      <c r="C81" s="1" t="s">
        <v>578</v>
      </c>
      <c r="D81" t="s">
        <v>1207</v>
      </c>
      <c r="E81" s="2">
        <v>26888</v>
      </c>
      <c r="F81" s="2">
        <v>24198</v>
      </c>
      <c r="G81" s="2">
        <v>26888</v>
      </c>
      <c r="H81" s="2">
        <v>24198</v>
      </c>
    </row>
    <row r="82" spans="1:8">
      <c r="A82" t="s">
        <v>787</v>
      </c>
      <c r="B82" t="s">
        <v>604</v>
      </c>
      <c r="C82" s="1" t="s">
        <v>603</v>
      </c>
      <c r="D82" t="s">
        <v>1208</v>
      </c>
      <c r="E82" s="2">
        <v>26888</v>
      </c>
      <c r="F82" s="2">
        <v>24198</v>
      </c>
      <c r="G82" s="2">
        <v>26888</v>
      </c>
      <c r="H82" s="2">
        <v>24198</v>
      </c>
    </row>
    <row r="83" spans="1:8">
      <c r="A83" t="s">
        <v>788</v>
      </c>
      <c r="B83" t="s">
        <v>623</v>
      </c>
      <c r="C83" s="1" t="s">
        <v>622</v>
      </c>
      <c r="D83" t="s">
        <v>1209</v>
      </c>
      <c r="E83" s="2">
        <v>44040</v>
      </c>
      <c r="F83" s="2">
        <v>4400</v>
      </c>
      <c r="G83" s="2">
        <v>44040</v>
      </c>
      <c r="H83" s="2">
        <v>4400</v>
      </c>
    </row>
    <row r="84" spans="1:8">
      <c r="A84" t="s">
        <v>789</v>
      </c>
      <c r="B84" t="s">
        <v>650</v>
      </c>
      <c r="C84" s="1" t="s">
        <v>649</v>
      </c>
      <c r="D84" t="s">
        <v>1200</v>
      </c>
      <c r="E84" s="2">
        <v>1248108.5000000002</v>
      </c>
      <c r="F84" s="2">
        <v>1209588.54</v>
      </c>
      <c r="G84" s="2">
        <v>1248108.5000000002</v>
      </c>
      <c r="H84" s="2">
        <v>1209588.54</v>
      </c>
    </row>
    <row r="85" spans="1:8">
      <c r="A85" t="s">
        <v>790</v>
      </c>
      <c r="B85" t="s">
        <v>615</v>
      </c>
      <c r="C85" s="1" t="s">
        <v>614</v>
      </c>
      <c r="D85" t="s">
        <v>1210</v>
      </c>
      <c r="E85" s="2">
        <v>47400</v>
      </c>
      <c r="F85" s="2">
        <v>4500</v>
      </c>
      <c r="G85" s="2">
        <v>47400</v>
      </c>
      <c r="H85" s="2">
        <v>4500</v>
      </c>
    </row>
    <row r="86" spans="1:8">
      <c r="A86" t="s">
        <v>791</v>
      </c>
      <c r="B86" t="s">
        <v>581</v>
      </c>
      <c r="C86" s="1" t="s">
        <v>580</v>
      </c>
      <c r="D86" t="s">
        <v>1211</v>
      </c>
      <c r="E86" s="2">
        <v>30574</v>
      </c>
      <c r="F86" s="2">
        <v>4200</v>
      </c>
      <c r="G86" s="2">
        <v>30574</v>
      </c>
      <c r="H86" s="2">
        <v>4200</v>
      </c>
    </row>
    <row r="87" spans="1:8">
      <c r="A87" t="s">
        <v>792</v>
      </c>
      <c r="B87" t="s">
        <v>595</v>
      </c>
      <c r="C87" s="1" t="s">
        <v>594</v>
      </c>
      <c r="D87" t="s">
        <v>1212</v>
      </c>
      <c r="E87" s="2">
        <v>28022</v>
      </c>
      <c r="F87" s="2">
        <v>4200</v>
      </c>
      <c r="G87" s="2">
        <v>28022</v>
      </c>
      <c r="H87" s="2">
        <v>4200</v>
      </c>
    </row>
    <row r="88" spans="1:8">
      <c r="A88" t="s">
        <v>793</v>
      </c>
      <c r="B88" t="s">
        <v>593</v>
      </c>
      <c r="C88" s="1" t="s">
        <v>592</v>
      </c>
      <c r="D88" t="s">
        <v>1213</v>
      </c>
      <c r="E88" s="2">
        <v>17500</v>
      </c>
      <c r="F88" s="2">
        <v>0</v>
      </c>
      <c r="G88" s="2">
        <v>17500</v>
      </c>
      <c r="H88" s="2">
        <v>0</v>
      </c>
    </row>
    <row r="89" spans="1:8">
      <c r="A89" t="s">
        <v>794</v>
      </c>
      <c r="B89" t="s">
        <v>559</v>
      </c>
      <c r="C89" s="1" t="s">
        <v>558</v>
      </c>
      <c r="D89" t="s">
        <v>1214</v>
      </c>
      <c r="E89" s="2">
        <v>44030</v>
      </c>
      <c r="F89" s="2">
        <v>0</v>
      </c>
      <c r="G89" s="2">
        <v>44030</v>
      </c>
      <c r="H89" s="2">
        <v>0</v>
      </c>
    </row>
    <row r="90" spans="1:8">
      <c r="A90" t="s">
        <v>795</v>
      </c>
      <c r="B90" t="s">
        <v>276</v>
      </c>
      <c r="C90" s="1" t="s">
        <v>369</v>
      </c>
      <c r="D90" t="s">
        <v>1215</v>
      </c>
      <c r="E90" s="2">
        <v>331944.99</v>
      </c>
      <c r="F90" s="2">
        <v>331944.73999999993</v>
      </c>
      <c r="G90" s="2">
        <v>331944.99</v>
      </c>
      <c r="H90" s="2">
        <v>331944.73999999993</v>
      </c>
    </row>
    <row r="91" spans="1:8">
      <c r="A91" t="s">
        <v>796</v>
      </c>
      <c r="B91" t="s">
        <v>276</v>
      </c>
      <c r="C91" s="1" t="s">
        <v>275</v>
      </c>
      <c r="D91" t="s">
        <v>1215</v>
      </c>
      <c r="E91" s="2">
        <v>65265</v>
      </c>
      <c r="F91" s="2">
        <v>13813.95</v>
      </c>
      <c r="G91" s="2">
        <v>65265</v>
      </c>
      <c r="H91" s="2">
        <v>13813.95</v>
      </c>
    </row>
    <row r="92" spans="1:8">
      <c r="A92" t="s">
        <v>797</v>
      </c>
      <c r="B92" t="s">
        <v>391</v>
      </c>
      <c r="C92" s="1" t="s">
        <v>449</v>
      </c>
      <c r="D92" t="s">
        <v>1216</v>
      </c>
      <c r="E92" s="2">
        <v>115259</v>
      </c>
      <c r="F92" s="2">
        <v>4096.6499999999996</v>
      </c>
      <c r="G92" s="2">
        <v>115259</v>
      </c>
      <c r="H92" s="2">
        <v>4096.6499999999996</v>
      </c>
    </row>
    <row r="93" spans="1:8">
      <c r="A93" t="s">
        <v>798</v>
      </c>
      <c r="B93" t="s">
        <v>391</v>
      </c>
      <c r="C93" s="1" t="s">
        <v>390</v>
      </c>
      <c r="D93" t="s">
        <v>1216</v>
      </c>
      <c r="E93" s="2">
        <v>807015.5</v>
      </c>
      <c r="F93" s="2">
        <v>786101.52</v>
      </c>
      <c r="G93" s="2">
        <v>807015.5</v>
      </c>
      <c r="H93" s="2">
        <v>786101.52</v>
      </c>
    </row>
    <row r="94" spans="1:8">
      <c r="A94" t="s">
        <v>799</v>
      </c>
      <c r="B94" t="s">
        <v>58</v>
      </c>
      <c r="C94" s="1" t="s">
        <v>57</v>
      </c>
      <c r="D94" t="s">
        <v>1217</v>
      </c>
      <c r="E94" s="2">
        <v>782427.33999999985</v>
      </c>
      <c r="F94" s="2">
        <v>779777.34000000008</v>
      </c>
      <c r="G94" s="2">
        <v>782427.33999999985</v>
      </c>
      <c r="H94" s="2">
        <v>779777.34000000008</v>
      </c>
    </row>
    <row r="95" spans="1:8">
      <c r="A95" t="s">
        <v>800</v>
      </c>
      <c r="B95" t="s">
        <v>58</v>
      </c>
      <c r="C95" s="1" t="s">
        <v>552</v>
      </c>
      <c r="D95" t="s">
        <v>1218</v>
      </c>
      <c r="E95" s="2">
        <v>23274</v>
      </c>
      <c r="F95" s="2">
        <v>1055.75</v>
      </c>
      <c r="G95" s="2">
        <v>23274</v>
      </c>
      <c r="H95" s="2">
        <v>1055.75</v>
      </c>
    </row>
    <row r="96" spans="1:8">
      <c r="A96" t="s">
        <v>801</v>
      </c>
      <c r="B96" t="s">
        <v>286</v>
      </c>
      <c r="C96" s="1" t="s">
        <v>285</v>
      </c>
      <c r="D96" t="s">
        <v>1219</v>
      </c>
      <c r="E96" s="2">
        <v>73558.3</v>
      </c>
      <c r="F96" s="2">
        <v>30866.25</v>
      </c>
      <c r="G96" s="2">
        <v>73558.3</v>
      </c>
      <c r="H96" s="2">
        <v>30866.25</v>
      </c>
    </row>
    <row r="97" spans="1:8">
      <c r="A97" t="s">
        <v>802</v>
      </c>
      <c r="B97" t="s">
        <v>296</v>
      </c>
      <c r="C97" s="1" t="s">
        <v>295</v>
      </c>
      <c r="D97" t="s">
        <v>1220</v>
      </c>
      <c r="E97" s="2">
        <v>55141</v>
      </c>
      <c r="F97" s="2">
        <v>12256.25</v>
      </c>
      <c r="G97" s="2">
        <v>55141</v>
      </c>
      <c r="H97" s="2">
        <v>12256.25</v>
      </c>
    </row>
    <row r="98" spans="1:8">
      <c r="A98" t="s">
        <v>803</v>
      </c>
      <c r="B98" t="s">
        <v>220</v>
      </c>
      <c r="C98" s="1" t="s">
        <v>219</v>
      </c>
      <c r="D98" t="s">
        <v>1221</v>
      </c>
      <c r="E98" s="2">
        <v>626369.39</v>
      </c>
      <c r="F98" s="2">
        <v>618303.97</v>
      </c>
      <c r="G98" s="2">
        <v>626369.39</v>
      </c>
      <c r="H98" s="2">
        <v>618303.97</v>
      </c>
    </row>
    <row r="99" spans="1:8">
      <c r="A99" t="s">
        <v>804</v>
      </c>
      <c r="B99" t="s">
        <v>220</v>
      </c>
      <c r="C99" s="1" t="s">
        <v>310</v>
      </c>
      <c r="D99" t="s">
        <v>1221</v>
      </c>
      <c r="E99" s="2">
        <v>83187</v>
      </c>
      <c r="F99" s="2">
        <v>25193.550000000003</v>
      </c>
      <c r="G99" s="2">
        <v>83187</v>
      </c>
      <c r="H99" s="2">
        <v>25193.550000000003</v>
      </c>
    </row>
    <row r="100" spans="1:8">
      <c r="A100" t="s">
        <v>805</v>
      </c>
      <c r="B100" t="s">
        <v>109</v>
      </c>
      <c r="C100" s="1" t="s">
        <v>108</v>
      </c>
      <c r="D100" t="s">
        <v>1222</v>
      </c>
      <c r="E100" s="2">
        <v>1332219.5099999998</v>
      </c>
      <c r="F100" s="2">
        <v>1331118.17</v>
      </c>
      <c r="G100" s="2">
        <v>1332219.5099999998</v>
      </c>
      <c r="H100" s="2">
        <v>1331118.17</v>
      </c>
    </row>
    <row r="101" spans="1:8">
      <c r="A101" t="s">
        <v>806</v>
      </c>
      <c r="B101" t="s">
        <v>109</v>
      </c>
      <c r="C101" s="1" t="s">
        <v>290</v>
      </c>
      <c r="D101" t="s">
        <v>1222</v>
      </c>
      <c r="E101" s="2">
        <v>86744</v>
      </c>
      <c r="F101" s="2">
        <v>23894.95</v>
      </c>
      <c r="G101" s="2">
        <v>86744</v>
      </c>
      <c r="H101" s="2">
        <v>23894.95</v>
      </c>
    </row>
    <row r="102" spans="1:8">
      <c r="A102" t="s">
        <v>807</v>
      </c>
      <c r="B102" t="s">
        <v>300</v>
      </c>
      <c r="C102" s="1" t="s">
        <v>299</v>
      </c>
      <c r="D102" t="s">
        <v>1223</v>
      </c>
      <c r="E102" s="2">
        <v>66910.3</v>
      </c>
      <c r="F102" s="2">
        <v>26279.65</v>
      </c>
      <c r="G102" s="2">
        <v>66910.3</v>
      </c>
      <c r="H102" s="2">
        <v>26279.65</v>
      </c>
    </row>
    <row r="103" spans="1:8">
      <c r="A103" t="s">
        <v>808</v>
      </c>
      <c r="B103" t="s">
        <v>709</v>
      </c>
      <c r="C103" s="1" t="s">
        <v>708</v>
      </c>
      <c r="D103" t="s">
        <v>1224</v>
      </c>
      <c r="E103" s="2">
        <v>12438.880000000003</v>
      </c>
      <c r="F103" s="2">
        <v>12438.88</v>
      </c>
      <c r="G103" s="2">
        <v>12438.880000000003</v>
      </c>
      <c r="H103" s="2">
        <v>12438.88</v>
      </c>
    </row>
    <row r="104" spans="1:8">
      <c r="A104" t="s">
        <v>809</v>
      </c>
      <c r="B104" t="s">
        <v>278</v>
      </c>
      <c r="C104" s="1" t="s">
        <v>277</v>
      </c>
      <c r="D104" t="s">
        <v>1225</v>
      </c>
      <c r="E104" s="2">
        <v>55964</v>
      </c>
      <c r="F104" s="2">
        <v>14092.45</v>
      </c>
      <c r="G104" s="2">
        <v>55964</v>
      </c>
      <c r="H104" s="2">
        <v>14092.45</v>
      </c>
    </row>
    <row r="105" spans="1:8">
      <c r="A105" t="s">
        <v>810</v>
      </c>
      <c r="B105" t="s">
        <v>282</v>
      </c>
      <c r="C105" s="1" t="s">
        <v>535</v>
      </c>
      <c r="D105" t="s">
        <v>1226</v>
      </c>
      <c r="E105" s="2">
        <v>2728798.54</v>
      </c>
      <c r="F105" s="2">
        <v>15755.240000000002</v>
      </c>
      <c r="G105" s="2">
        <v>2728798.54</v>
      </c>
      <c r="H105" s="2">
        <v>40162.559999999998</v>
      </c>
    </row>
    <row r="106" spans="1:8">
      <c r="A106" t="s">
        <v>811</v>
      </c>
      <c r="B106" t="s">
        <v>282</v>
      </c>
      <c r="C106" s="1" t="s">
        <v>281</v>
      </c>
      <c r="D106" t="s">
        <v>1226</v>
      </c>
      <c r="E106" s="2">
        <v>74257.540000000008</v>
      </c>
      <c r="F106" s="2">
        <v>12304.45</v>
      </c>
      <c r="G106" s="2">
        <v>74257.540000000008</v>
      </c>
      <c r="H106" s="2">
        <v>12304.45</v>
      </c>
    </row>
    <row r="107" spans="1:8">
      <c r="A107" t="s">
        <v>812</v>
      </c>
      <c r="B107" t="s">
        <v>499</v>
      </c>
      <c r="C107" s="1" t="s">
        <v>575</v>
      </c>
      <c r="D107" t="s">
        <v>1227</v>
      </c>
      <c r="E107" s="2">
        <v>23274</v>
      </c>
      <c r="F107" s="2">
        <v>1055.75</v>
      </c>
      <c r="G107" s="2">
        <v>23274</v>
      </c>
      <c r="H107" s="2">
        <v>1055.75</v>
      </c>
    </row>
    <row r="108" spans="1:8">
      <c r="A108" t="s">
        <v>813</v>
      </c>
      <c r="B108" t="s">
        <v>499</v>
      </c>
      <c r="C108" s="1" t="s">
        <v>498</v>
      </c>
      <c r="D108" t="s">
        <v>1227</v>
      </c>
      <c r="E108" s="2">
        <v>333188</v>
      </c>
      <c r="F108" s="2">
        <v>316528.59999999998</v>
      </c>
      <c r="G108" s="2">
        <v>333188</v>
      </c>
      <c r="H108" s="2">
        <v>316528.59999999998</v>
      </c>
    </row>
    <row r="109" spans="1:8">
      <c r="A109" t="s">
        <v>814</v>
      </c>
      <c r="B109" t="s">
        <v>307</v>
      </c>
      <c r="C109" s="1" t="s">
        <v>484</v>
      </c>
      <c r="D109" t="s">
        <v>1228</v>
      </c>
      <c r="E109" s="2">
        <v>608912</v>
      </c>
      <c r="F109" s="2">
        <v>608912</v>
      </c>
      <c r="G109" s="2">
        <v>608912</v>
      </c>
      <c r="H109" s="2">
        <v>608912</v>
      </c>
    </row>
    <row r="110" spans="1:8">
      <c r="A110" t="s">
        <v>815</v>
      </c>
      <c r="B110" t="s">
        <v>307</v>
      </c>
      <c r="C110" s="1" t="s">
        <v>306</v>
      </c>
      <c r="D110" t="s">
        <v>1228</v>
      </c>
      <c r="E110" s="2">
        <v>200591.42999999996</v>
      </c>
      <c r="F110" s="2">
        <v>200591.43</v>
      </c>
      <c r="G110" s="2">
        <v>200591.42999999996</v>
      </c>
      <c r="H110" s="2">
        <v>200591.43</v>
      </c>
    </row>
    <row r="111" spans="1:8">
      <c r="A111" t="s">
        <v>816</v>
      </c>
      <c r="B111" t="s">
        <v>307</v>
      </c>
      <c r="C111" s="1" t="s">
        <v>482</v>
      </c>
      <c r="D111" t="s">
        <v>1228</v>
      </c>
      <c r="E111" s="2">
        <v>80388</v>
      </c>
      <c r="F111" s="2">
        <v>33030.199999999997</v>
      </c>
      <c r="G111" s="2">
        <v>80388</v>
      </c>
      <c r="H111" s="2">
        <v>33030.199999999997</v>
      </c>
    </row>
    <row r="112" spans="1:8">
      <c r="A112" t="s">
        <v>817</v>
      </c>
      <c r="B112" t="s">
        <v>305</v>
      </c>
      <c r="C112" s="1" t="s">
        <v>380</v>
      </c>
      <c r="D112" t="s">
        <v>1229</v>
      </c>
      <c r="E112" s="2">
        <v>39635.80000000001</v>
      </c>
      <c r="F112" s="2">
        <v>31212.73</v>
      </c>
      <c r="G112" s="2">
        <v>39635.80000000001</v>
      </c>
      <c r="H112" s="2">
        <v>31212.73</v>
      </c>
    </row>
    <row r="113" spans="1:8">
      <c r="A113" t="s">
        <v>818</v>
      </c>
      <c r="B113" t="s">
        <v>305</v>
      </c>
      <c r="C113" s="1" t="s">
        <v>304</v>
      </c>
      <c r="D113" t="s">
        <v>1230</v>
      </c>
      <c r="E113" s="2">
        <v>858211.53999999992</v>
      </c>
      <c r="F113" s="2">
        <v>773178.49000000011</v>
      </c>
      <c r="G113" s="2">
        <v>858211.53999999992</v>
      </c>
      <c r="H113" s="2">
        <v>773178.49000000011</v>
      </c>
    </row>
    <row r="114" spans="1:8">
      <c r="A114" t="s">
        <v>819</v>
      </c>
      <c r="B114" t="s">
        <v>554</v>
      </c>
      <c r="C114" s="1" t="s">
        <v>553</v>
      </c>
      <c r="D114" t="s">
        <v>1231</v>
      </c>
      <c r="E114" s="2">
        <v>72103.14</v>
      </c>
      <c r="F114" s="2">
        <v>23366.9</v>
      </c>
      <c r="G114" s="2">
        <v>72103.14</v>
      </c>
      <c r="H114" s="2">
        <v>23366.9</v>
      </c>
    </row>
    <row r="115" spans="1:8">
      <c r="A115" t="s">
        <v>820</v>
      </c>
      <c r="B115" t="s">
        <v>127</v>
      </c>
      <c r="C115" s="1" t="s">
        <v>126</v>
      </c>
      <c r="D115" t="s">
        <v>1232</v>
      </c>
      <c r="E115" s="2">
        <v>782205</v>
      </c>
      <c r="F115" s="2">
        <v>762451.76</v>
      </c>
      <c r="G115" s="2">
        <v>782205</v>
      </c>
      <c r="H115" s="2">
        <v>762451.76</v>
      </c>
    </row>
    <row r="116" spans="1:8">
      <c r="A116" t="s">
        <v>821</v>
      </c>
      <c r="B116" t="s">
        <v>127</v>
      </c>
      <c r="C116" s="1" t="s">
        <v>491</v>
      </c>
      <c r="D116" t="s">
        <v>1232</v>
      </c>
      <c r="E116" s="2">
        <v>60565.79</v>
      </c>
      <c r="F116" s="2">
        <v>40349.94</v>
      </c>
      <c r="G116" s="2">
        <v>60565.79</v>
      </c>
      <c r="H116" s="2">
        <v>40349.94</v>
      </c>
    </row>
    <row r="117" spans="1:8">
      <c r="A117" t="s">
        <v>822</v>
      </c>
      <c r="B117" t="s">
        <v>127</v>
      </c>
      <c r="C117" s="1" t="s">
        <v>421</v>
      </c>
      <c r="D117" t="s">
        <v>1232</v>
      </c>
      <c r="E117" s="2">
        <v>473707.75</v>
      </c>
      <c r="F117" s="2">
        <v>94754</v>
      </c>
      <c r="G117" s="2">
        <v>473707.75</v>
      </c>
      <c r="H117" s="2">
        <v>94754</v>
      </c>
    </row>
    <row r="118" spans="1:8">
      <c r="A118" t="s">
        <v>823</v>
      </c>
      <c r="B118" t="s">
        <v>21</v>
      </c>
      <c r="C118" s="1" t="s">
        <v>20</v>
      </c>
      <c r="D118" t="s">
        <v>1233</v>
      </c>
      <c r="E118" s="2">
        <v>2040233.6600000001</v>
      </c>
      <c r="F118" s="2">
        <v>1389897.4699999997</v>
      </c>
      <c r="G118" s="2">
        <v>2040133.6600000001</v>
      </c>
      <c r="H118" s="2">
        <v>1389897.4699999997</v>
      </c>
    </row>
    <row r="119" spans="1:8">
      <c r="A119" t="s">
        <v>824</v>
      </c>
      <c r="B119" t="s">
        <v>526</v>
      </c>
      <c r="C119" s="1" t="s">
        <v>525</v>
      </c>
      <c r="D119" t="s">
        <v>1234</v>
      </c>
      <c r="E119" s="2">
        <v>54347.669999999984</v>
      </c>
      <c r="F119" s="2">
        <v>25203.040000000001</v>
      </c>
      <c r="G119" s="2">
        <v>54347.669999999984</v>
      </c>
      <c r="H119" s="2">
        <v>31676.36</v>
      </c>
    </row>
    <row r="120" spans="1:8">
      <c r="A120" t="s">
        <v>825</v>
      </c>
      <c r="B120" t="s">
        <v>446</v>
      </c>
      <c r="C120" s="1" t="s">
        <v>445</v>
      </c>
      <c r="D120" t="s">
        <v>1235</v>
      </c>
      <c r="E120" s="2">
        <v>565272.28</v>
      </c>
      <c r="F120" s="2">
        <v>565272.28</v>
      </c>
      <c r="G120" s="2">
        <v>565272.28</v>
      </c>
      <c r="H120" s="2">
        <v>565272.28</v>
      </c>
    </row>
    <row r="121" spans="1:8">
      <c r="A121" t="s">
        <v>826</v>
      </c>
      <c r="B121" t="s">
        <v>446</v>
      </c>
      <c r="C121" s="1" t="s">
        <v>520</v>
      </c>
      <c r="D121" t="s">
        <v>1235</v>
      </c>
      <c r="E121" s="2">
        <v>77654</v>
      </c>
      <c r="F121" s="2">
        <v>39538.9</v>
      </c>
      <c r="G121" s="2">
        <v>77654</v>
      </c>
      <c r="H121" s="2">
        <v>39538.9</v>
      </c>
    </row>
    <row r="122" spans="1:8">
      <c r="A122" t="s">
        <v>827</v>
      </c>
      <c r="B122" t="s">
        <v>446</v>
      </c>
      <c r="C122" s="1" t="s">
        <v>527</v>
      </c>
      <c r="D122" t="s">
        <v>1235</v>
      </c>
      <c r="E122" s="2">
        <v>14874.6</v>
      </c>
      <c r="F122" s="2">
        <v>12638.74</v>
      </c>
      <c r="G122" s="2">
        <v>14874.6</v>
      </c>
      <c r="H122" s="2">
        <v>12638.74</v>
      </c>
    </row>
    <row r="123" spans="1:8">
      <c r="A123" t="s">
        <v>828</v>
      </c>
      <c r="B123" t="s">
        <v>446</v>
      </c>
      <c r="C123" s="1" t="s">
        <v>653</v>
      </c>
      <c r="D123" t="s">
        <v>1423</v>
      </c>
      <c r="E123" s="2">
        <v>422035</v>
      </c>
      <c r="F123" s="2">
        <v>0</v>
      </c>
      <c r="G123" s="2">
        <v>422035</v>
      </c>
      <c r="H123" s="2">
        <v>0</v>
      </c>
    </row>
    <row r="124" spans="1:8">
      <c r="A124" t="s">
        <v>829</v>
      </c>
      <c r="B124" t="s">
        <v>703</v>
      </c>
      <c r="C124" s="1" t="s">
        <v>702</v>
      </c>
      <c r="D124" t="s">
        <v>1236</v>
      </c>
      <c r="E124" s="2">
        <v>2294.3700000000026</v>
      </c>
      <c r="F124" s="2">
        <v>2294.37</v>
      </c>
      <c r="G124" s="2">
        <v>2294.3700000000026</v>
      </c>
      <c r="H124" s="2">
        <v>2294.37</v>
      </c>
    </row>
    <row r="125" spans="1:8">
      <c r="A125" t="s">
        <v>830</v>
      </c>
      <c r="B125" t="s">
        <v>359</v>
      </c>
      <c r="C125" s="1" t="s">
        <v>358</v>
      </c>
      <c r="D125" t="s">
        <v>1237</v>
      </c>
      <c r="E125" s="2">
        <v>517233.92999999993</v>
      </c>
      <c r="F125" s="2">
        <v>420016.06000000011</v>
      </c>
      <c r="G125" s="2">
        <v>517233.92999999993</v>
      </c>
      <c r="H125" s="2">
        <v>420016.06000000011</v>
      </c>
    </row>
    <row r="126" spans="1:8">
      <c r="A126" t="s">
        <v>831</v>
      </c>
      <c r="B126" t="s">
        <v>255</v>
      </c>
      <c r="C126" s="1" t="s">
        <v>254</v>
      </c>
      <c r="D126" t="s">
        <v>1238</v>
      </c>
      <c r="E126" s="2">
        <v>2629422.77</v>
      </c>
      <c r="F126" s="2">
        <v>2569845.1600000006</v>
      </c>
      <c r="G126" s="2">
        <v>2629422.77</v>
      </c>
      <c r="H126" s="2">
        <v>2569845.1600000006</v>
      </c>
    </row>
    <row r="127" spans="1:8">
      <c r="A127" t="s">
        <v>832</v>
      </c>
      <c r="B127" t="s">
        <v>175</v>
      </c>
      <c r="C127" s="1" t="s">
        <v>174</v>
      </c>
      <c r="D127" t="s">
        <v>1239</v>
      </c>
      <c r="E127" s="2">
        <v>325368.04999999993</v>
      </c>
      <c r="F127" s="2">
        <v>325368.05000000005</v>
      </c>
      <c r="G127" s="2">
        <v>325368.04999999993</v>
      </c>
      <c r="H127" s="2">
        <v>325368.05000000005</v>
      </c>
    </row>
    <row r="128" spans="1:8">
      <c r="A128" t="s">
        <v>833</v>
      </c>
      <c r="B128" t="s">
        <v>411</v>
      </c>
      <c r="C128" s="1" t="s">
        <v>410</v>
      </c>
      <c r="D128" t="s">
        <v>1240</v>
      </c>
      <c r="E128" s="2">
        <v>60358.41</v>
      </c>
      <c r="F128" s="2">
        <v>21797.690000000002</v>
      </c>
      <c r="G128" s="2">
        <v>60358.41</v>
      </c>
      <c r="H128" s="2">
        <v>21797.690000000002</v>
      </c>
    </row>
    <row r="129" spans="1:8">
      <c r="A129" t="s">
        <v>834</v>
      </c>
      <c r="B129" t="s">
        <v>23</v>
      </c>
      <c r="C129" s="1" t="s">
        <v>22</v>
      </c>
      <c r="D129" t="s">
        <v>1241</v>
      </c>
      <c r="E129" s="2">
        <v>926370.8</v>
      </c>
      <c r="F129" s="2">
        <v>917774.8</v>
      </c>
      <c r="G129" s="2">
        <v>926370.8</v>
      </c>
      <c r="H129" s="2">
        <v>917774.8</v>
      </c>
    </row>
    <row r="130" spans="1:8">
      <c r="A130" t="s">
        <v>835</v>
      </c>
      <c r="B130" t="s">
        <v>23</v>
      </c>
      <c r="C130" s="1" t="s">
        <v>412</v>
      </c>
      <c r="D130" t="s">
        <v>1241</v>
      </c>
      <c r="E130" s="2">
        <v>97394.95</v>
      </c>
      <c r="F130" s="2">
        <v>56469.17</v>
      </c>
      <c r="G130" s="2">
        <v>97394.95</v>
      </c>
      <c r="H130" s="2">
        <v>56469.17</v>
      </c>
    </row>
    <row r="131" spans="1:8">
      <c r="A131" t="s">
        <v>836</v>
      </c>
      <c r="B131" t="s">
        <v>329</v>
      </c>
      <c r="C131" s="1" t="s">
        <v>328</v>
      </c>
      <c r="D131" t="s">
        <v>1242</v>
      </c>
      <c r="E131" s="2">
        <v>1196053.6599999999</v>
      </c>
      <c r="F131" s="2">
        <v>751615.66</v>
      </c>
      <c r="G131" s="2">
        <v>1196053.6599999999</v>
      </c>
      <c r="H131" s="2">
        <v>751615.66</v>
      </c>
    </row>
    <row r="132" spans="1:8">
      <c r="A132" t="s">
        <v>837</v>
      </c>
      <c r="B132" t="s">
        <v>329</v>
      </c>
      <c r="C132" s="1" t="s">
        <v>357</v>
      </c>
      <c r="D132" t="s">
        <v>1242</v>
      </c>
      <c r="E132" s="2">
        <v>77378.959999999992</v>
      </c>
      <c r="F132" s="2">
        <v>6995.25</v>
      </c>
      <c r="G132" s="2">
        <v>77378.959999999992</v>
      </c>
      <c r="H132" s="2">
        <v>6995.25</v>
      </c>
    </row>
    <row r="133" spans="1:8">
      <c r="A133" t="s">
        <v>838</v>
      </c>
      <c r="B133" t="s">
        <v>45</v>
      </c>
      <c r="C133" s="1" t="s">
        <v>44</v>
      </c>
      <c r="D133" t="s">
        <v>1243</v>
      </c>
      <c r="E133" s="2">
        <v>1999490</v>
      </c>
      <c r="F133" s="2">
        <v>1466639.28</v>
      </c>
      <c r="G133" s="2">
        <v>1999490</v>
      </c>
      <c r="H133" s="2">
        <v>1466639.28</v>
      </c>
    </row>
    <row r="134" spans="1:8">
      <c r="A134" t="s">
        <v>839</v>
      </c>
      <c r="B134" t="s">
        <v>226</v>
      </c>
      <c r="C134" s="1" t="s">
        <v>225</v>
      </c>
      <c r="D134" t="s">
        <v>1244</v>
      </c>
      <c r="E134" s="2">
        <v>1429551.9099999997</v>
      </c>
      <c r="F134" s="2">
        <v>1402255.77</v>
      </c>
      <c r="G134" s="2">
        <v>1429551.9099999997</v>
      </c>
      <c r="H134" s="2">
        <v>1402255.77</v>
      </c>
    </row>
    <row r="135" spans="1:8">
      <c r="A135" t="s">
        <v>840</v>
      </c>
      <c r="B135" t="s">
        <v>226</v>
      </c>
      <c r="C135" s="1" t="s">
        <v>644</v>
      </c>
      <c r="D135" t="s">
        <v>1244</v>
      </c>
      <c r="E135" s="2">
        <v>699501</v>
      </c>
      <c r="F135" s="2">
        <v>0</v>
      </c>
      <c r="G135" s="2">
        <v>699501</v>
      </c>
      <c r="H135" s="2">
        <v>0</v>
      </c>
    </row>
    <row r="136" spans="1:8">
      <c r="A136" t="s">
        <v>841</v>
      </c>
      <c r="B136" t="s">
        <v>373</v>
      </c>
      <c r="C136" s="1" t="s">
        <v>372</v>
      </c>
      <c r="D136" t="s">
        <v>1245</v>
      </c>
      <c r="E136" s="2">
        <v>340097.91000000003</v>
      </c>
      <c r="F136" s="2">
        <v>178115.27</v>
      </c>
      <c r="G136" s="2">
        <v>340097.91000000003</v>
      </c>
      <c r="H136" s="2">
        <v>178115.27</v>
      </c>
    </row>
    <row r="137" spans="1:8">
      <c r="A137" t="s">
        <v>842</v>
      </c>
      <c r="B137" t="s">
        <v>373</v>
      </c>
      <c r="C137" s="1" t="s">
        <v>413</v>
      </c>
      <c r="D137" t="s">
        <v>1245</v>
      </c>
      <c r="E137" s="2">
        <v>55862.32</v>
      </c>
      <c r="F137" s="2">
        <v>4663</v>
      </c>
      <c r="G137" s="2">
        <v>55862.32</v>
      </c>
      <c r="H137" s="2">
        <v>4663</v>
      </c>
    </row>
    <row r="138" spans="1:8">
      <c r="A138" t="s">
        <v>843</v>
      </c>
      <c r="B138" t="s">
        <v>27</v>
      </c>
      <c r="C138" s="1" t="s">
        <v>26</v>
      </c>
      <c r="D138" t="s">
        <v>1246</v>
      </c>
      <c r="E138" s="2">
        <v>362258.22000000003</v>
      </c>
      <c r="F138" s="2">
        <v>362258.22</v>
      </c>
      <c r="G138" s="2">
        <v>362258.22000000003</v>
      </c>
      <c r="H138" s="2">
        <v>362258.22</v>
      </c>
    </row>
    <row r="139" spans="1:8">
      <c r="A139" t="s">
        <v>844</v>
      </c>
      <c r="B139" t="s">
        <v>455</v>
      </c>
      <c r="C139" s="1" t="s">
        <v>454</v>
      </c>
      <c r="D139" t="s">
        <v>1247</v>
      </c>
      <c r="E139" s="2">
        <v>495156.1100000001</v>
      </c>
      <c r="F139" s="2">
        <v>495156.11</v>
      </c>
      <c r="G139" s="2">
        <v>495156.1100000001</v>
      </c>
      <c r="H139" s="2">
        <v>495156.11</v>
      </c>
    </row>
    <row r="140" spans="1:8">
      <c r="A140" t="s">
        <v>845</v>
      </c>
      <c r="B140" t="s">
        <v>476</v>
      </c>
      <c r="C140" s="1" t="s">
        <v>475</v>
      </c>
      <c r="D140" t="s">
        <v>1248</v>
      </c>
      <c r="E140" s="2">
        <v>260921.37</v>
      </c>
      <c r="F140" s="2">
        <v>16941.23</v>
      </c>
      <c r="G140" s="2">
        <v>260921.37</v>
      </c>
      <c r="H140" s="2">
        <v>16941.23</v>
      </c>
    </row>
    <row r="141" spans="1:8">
      <c r="A141" t="s">
        <v>846</v>
      </c>
      <c r="B141" t="s">
        <v>394</v>
      </c>
      <c r="C141" s="1" t="s">
        <v>393</v>
      </c>
      <c r="D141" t="s">
        <v>1249</v>
      </c>
      <c r="E141" s="2">
        <v>5372185</v>
      </c>
      <c r="F141" s="2">
        <v>1895394.12</v>
      </c>
      <c r="G141" s="2">
        <v>5372185</v>
      </c>
      <c r="H141" s="2">
        <v>1895394.12</v>
      </c>
    </row>
    <row r="142" spans="1:8">
      <c r="A142" t="s">
        <v>847</v>
      </c>
      <c r="B142" t="s">
        <v>625</v>
      </c>
      <c r="C142" s="1" t="s">
        <v>645</v>
      </c>
      <c r="D142" t="s">
        <v>1424</v>
      </c>
      <c r="E142" s="2">
        <v>605000</v>
      </c>
      <c r="F142" s="2">
        <v>169275.90999999997</v>
      </c>
      <c r="G142" s="2">
        <v>605000</v>
      </c>
      <c r="H142" s="2">
        <v>195129.30999999997</v>
      </c>
    </row>
    <row r="143" spans="1:8">
      <c r="A143" t="s">
        <v>848</v>
      </c>
      <c r="B143" t="s">
        <v>181</v>
      </c>
      <c r="C143" s="1" t="s">
        <v>180</v>
      </c>
      <c r="D143" t="s">
        <v>1250</v>
      </c>
      <c r="E143" s="2">
        <v>1356781.4399999992</v>
      </c>
      <c r="F143" s="2">
        <v>1356781.4399999997</v>
      </c>
      <c r="G143" s="2">
        <v>1356781.4399999992</v>
      </c>
      <c r="H143" s="2">
        <v>1356781.4399999997</v>
      </c>
    </row>
    <row r="144" spans="1:8">
      <c r="A144" t="s">
        <v>849</v>
      </c>
      <c r="B144" t="s">
        <v>181</v>
      </c>
      <c r="C144" s="1" t="s">
        <v>495</v>
      </c>
      <c r="D144" t="s">
        <v>1250</v>
      </c>
      <c r="E144" s="2">
        <v>38849</v>
      </c>
      <c r="F144" s="2">
        <v>13948.3</v>
      </c>
      <c r="G144" s="2">
        <v>38849</v>
      </c>
      <c r="H144" s="2">
        <v>13948.3</v>
      </c>
    </row>
    <row r="145" spans="1:8">
      <c r="A145" t="s">
        <v>850</v>
      </c>
      <c r="B145" t="s">
        <v>431</v>
      </c>
      <c r="C145" s="1" t="s">
        <v>430</v>
      </c>
      <c r="D145" t="s">
        <v>1251</v>
      </c>
      <c r="E145" s="2">
        <v>368398</v>
      </c>
      <c r="F145" s="2">
        <v>284088.53999999998</v>
      </c>
      <c r="G145" s="2">
        <v>368398</v>
      </c>
      <c r="H145" s="2">
        <v>284088.53999999998</v>
      </c>
    </row>
    <row r="146" spans="1:8">
      <c r="A146" t="s">
        <v>851</v>
      </c>
      <c r="B146" t="s">
        <v>404</v>
      </c>
      <c r="C146" s="1" t="s">
        <v>403</v>
      </c>
      <c r="D146" t="s">
        <v>1252</v>
      </c>
      <c r="E146" s="2">
        <v>811513.43</v>
      </c>
      <c r="F146" s="2">
        <v>811513.43</v>
      </c>
      <c r="G146" s="2">
        <v>811513.43</v>
      </c>
      <c r="H146" s="2">
        <v>811513.43</v>
      </c>
    </row>
    <row r="147" spans="1:8">
      <c r="A147" t="s">
        <v>852</v>
      </c>
      <c r="B147" t="s">
        <v>272</v>
      </c>
      <c r="C147" s="1" t="s">
        <v>271</v>
      </c>
      <c r="D147" t="s">
        <v>1253</v>
      </c>
      <c r="E147" s="2">
        <v>2751321.9999999995</v>
      </c>
      <c r="F147" s="2">
        <v>2712609.6999999993</v>
      </c>
      <c r="G147" s="2">
        <v>2751321.9999999995</v>
      </c>
      <c r="H147" s="2">
        <v>2722903.9499999993</v>
      </c>
    </row>
    <row r="148" spans="1:8">
      <c r="A148" t="s">
        <v>853</v>
      </c>
      <c r="B148" t="s">
        <v>272</v>
      </c>
      <c r="C148" s="1" t="s">
        <v>362</v>
      </c>
      <c r="D148" t="s">
        <v>1253</v>
      </c>
      <c r="E148" s="2">
        <v>38678</v>
      </c>
      <c r="F148" s="2">
        <v>3919</v>
      </c>
      <c r="G148" s="2">
        <v>38678</v>
      </c>
      <c r="H148" s="2">
        <v>3919</v>
      </c>
    </row>
    <row r="149" spans="1:8">
      <c r="A149" t="s">
        <v>854</v>
      </c>
      <c r="B149" t="s">
        <v>325</v>
      </c>
      <c r="C149" s="1" t="s">
        <v>324</v>
      </c>
      <c r="D149" t="s">
        <v>1254</v>
      </c>
      <c r="E149" s="2">
        <v>163441.83000000002</v>
      </c>
      <c r="F149" s="2">
        <v>163441.82999999999</v>
      </c>
      <c r="G149" s="2">
        <v>163441.83000000002</v>
      </c>
      <c r="H149" s="2">
        <v>163441.82999999999</v>
      </c>
    </row>
    <row r="150" spans="1:8">
      <c r="A150" t="s">
        <v>855</v>
      </c>
      <c r="B150" t="s">
        <v>692</v>
      </c>
      <c r="C150" s="1" t="s">
        <v>691</v>
      </c>
      <c r="D150" t="s">
        <v>1255</v>
      </c>
      <c r="E150" s="2">
        <v>154349.75</v>
      </c>
      <c r="F150" s="2">
        <v>154349.75</v>
      </c>
      <c r="G150" s="2">
        <v>154349.75</v>
      </c>
      <c r="H150" s="2">
        <v>154349.75</v>
      </c>
    </row>
    <row r="151" spans="1:8">
      <c r="A151" t="s">
        <v>856</v>
      </c>
      <c r="B151" t="s">
        <v>671</v>
      </c>
      <c r="C151" s="1" t="s">
        <v>670</v>
      </c>
      <c r="D151" t="s">
        <v>1256</v>
      </c>
      <c r="E151" s="2">
        <v>262569.65000000002</v>
      </c>
      <c r="F151" s="2">
        <v>262569.64999999997</v>
      </c>
      <c r="G151" s="2">
        <v>262569.65000000002</v>
      </c>
      <c r="H151" s="2">
        <v>262569.64999999997</v>
      </c>
    </row>
    <row r="152" spans="1:8">
      <c r="A152" t="s">
        <v>857</v>
      </c>
      <c r="B152" t="s">
        <v>327</v>
      </c>
      <c r="C152" s="1" t="s">
        <v>326</v>
      </c>
      <c r="D152" t="s">
        <v>1257</v>
      </c>
      <c r="E152" s="2">
        <v>154349.75</v>
      </c>
      <c r="F152" s="2">
        <v>154349.75</v>
      </c>
      <c r="G152" s="2">
        <v>154349.75</v>
      </c>
      <c r="H152" s="2">
        <v>154349.75</v>
      </c>
    </row>
    <row r="153" spans="1:8">
      <c r="A153" t="s">
        <v>858</v>
      </c>
      <c r="B153" t="s">
        <v>185</v>
      </c>
      <c r="C153" s="1" t="s">
        <v>184</v>
      </c>
      <c r="D153" t="s">
        <v>1258</v>
      </c>
      <c r="E153" s="2">
        <v>154349.75</v>
      </c>
      <c r="F153" s="2">
        <v>154349.75</v>
      </c>
      <c r="G153" s="2">
        <v>154349.75</v>
      </c>
      <c r="H153" s="2">
        <v>154349.75</v>
      </c>
    </row>
    <row r="154" spans="1:8">
      <c r="A154" t="s">
        <v>859</v>
      </c>
      <c r="B154" t="s">
        <v>49</v>
      </c>
      <c r="C154" s="1" t="s">
        <v>48</v>
      </c>
      <c r="D154" t="s">
        <v>1259</v>
      </c>
      <c r="E154" s="2">
        <v>2342119.4499999997</v>
      </c>
      <c r="F154" s="2">
        <v>2332405.3800000018</v>
      </c>
      <c r="G154" s="2">
        <v>2342119.4499999997</v>
      </c>
      <c r="H154" s="2">
        <v>2333575.4800000018</v>
      </c>
    </row>
    <row r="155" spans="1:8">
      <c r="A155" t="s">
        <v>860</v>
      </c>
      <c r="B155" t="s">
        <v>49</v>
      </c>
      <c r="C155" s="1" t="s">
        <v>530</v>
      </c>
      <c r="D155" t="s">
        <v>1259</v>
      </c>
      <c r="E155" s="2">
        <v>98822.54</v>
      </c>
      <c r="F155" s="2">
        <v>59079.41</v>
      </c>
      <c r="G155" s="2">
        <v>98822.54</v>
      </c>
      <c r="H155" s="2">
        <v>59079.41</v>
      </c>
    </row>
    <row r="156" spans="1:8">
      <c r="A156" t="s">
        <v>861</v>
      </c>
      <c r="B156" t="s">
        <v>49</v>
      </c>
      <c r="C156" s="1" t="s">
        <v>483</v>
      </c>
      <c r="D156" t="s">
        <v>1259</v>
      </c>
      <c r="E156" s="2">
        <v>227005.56</v>
      </c>
      <c r="F156" s="2">
        <v>227005.56</v>
      </c>
      <c r="G156" s="2">
        <v>227005.56</v>
      </c>
      <c r="H156" s="2">
        <v>227005.56</v>
      </c>
    </row>
    <row r="157" spans="1:8">
      <c r="A157" t="s">
        <v>862</v>
      </c>
      <c r="B157" t="s">
        <v>49</v>
      </c>
      <c r="C157" s="1" t="s">
        <v>546</v>
      </c>
      <c r="D157" t="s">
        <v>1259</v>
      </c>
      <c r="E157" s="2">
        <v>116271.35</v>
      </c>
      <c r="F157" s="2">
        <v>116271.35</v>
      </c>
      <c r="G157" s="2">
        <v>116271.35</v>
      </c>
      <c r="H157" s="2">
        <v>116271.35</v>
      </c>
    </row>
    <row r="158" spans="1:8">
      <c r="A158" t="s">
        <v>863</v>
      </c>
      <c r="B158" t="s">
        <v>172</v>
      </c>
      <c r="C158" s="1" t="s">
        <v>570</v>
      </c>
      <c r="D158" t="s">
        <v>1260</v>
      </c>
      <c r="E158" s="2">
        <v>118290.72000000003</v>
      </c>
      <c r="F158" s="2">
        <v>105047.25</v>
      </c>
      <c r="G158" s="2">
        <v>118290.72000000003</v>
      </c>
      <c r="H158" s="2">
        <v>118290.72</v>
      </c>
    </row>
    <row r="159" spans="1:8">
      <c r="A159" t="s">
        <v>864</v>
      </c>
      <c r="B159" t="s">
        <v>172</v>
      </c>
      <c r="C159" s="1" t="s">
        <v>171</v>
      </c>
      <c r="D159" t="s">
        <v>1260</v>
      </c>
      <c r="E159" s="2">
        <v>59179</v>
      </c>
      <c r="F159" s="2">
        <v>27119.47</v>
      </c>
      <c r="G159" s="2">
        <v>59179</v>
      </c>
      <c r="H159" s="2">
        <v>27119.47</v>
      </c>
    </row>
    <row r="160" spans="1:8">
      <c r="A160" t="s">
        <v>865</v>
      </c>
      <c r="B160" t="s">
        <v>294</v>
      </c>
      <c r="C160" s="1" t="s">
        <v>293</v>
      </c>
      <c r="D160" t="s">
        <v>1261</v>
      </c>
      <c r="E160" s="2">
        <v>66065</v>
      </c>
      <c r="F160" s="2">
        <v>35971.449999999997</v>
      </c>
      <c r="G160" s="2">
        <v>66065</v>
      </c>
      <c r="H160" s="2">
        <v>35971.449999999997</v>
      </c>
    </row>
    <row r="161" spans="1:8">
      <c r="A161" t="s">
        <v>866</v>
      </c>
      <c r="B161" t="s">
        <v>91</v>
      </c>
      <c r="C161" s="1" t="s">
        <v>90</v>
      </c>
      <c r="D161" t="s">
        <v>1262</v>
      </c>
      <c r="E161" s="2">
        <v>580417.09000000008</v>
      </c>
      <c r="F161" s="2">
        <v>580167.09000000008</v>
      </c>
      <c r="G161" s="2">
        <v>580417.09000000008</v>
      </c>
      <c r="H161" s="2">
        <v>580167.09000000008</v>
      </c>
    </row>
    <row r="162" spans="1:8">
      <c r="A162" t="s">
        <v>867</v>
      </c>
      <c r="B162" t="s">
        <v>91</v>
      </c>
      <c r="C162" s="1" t="s">
        <v>436</v>
      </c>
      <c r="D162" t="s">
        <v>1262</v>
      </c>
      <c r="E162" s="2">
        <v>55093</v>
      </c>
      <c r="F162" s="2">
        <v>18880.5</v>
      </c>
      <c r="G162" s="2">
        <v>55093</v>
      </c>
      <c r="H162" s="2">
        <v>18880.5</v>
      </c>
    </row>
    <row r="163" spans="1:8">
      <c r="A163" t="s">
        <v>868</v>
      </c>
      <c r="B163" t="s">
        <v>11</v>
      </c>
      <c r="C163" s="1" t="s">
        <v>10</v>
      </c>
      <c r="D163" t="s">
        <v>1263</v>
      </c>
      <c r="E163" s="2">
        <v>1503197.3900000001</v>
      </c>
      <c r="F163" s="2">
        <v>468875.99000000005</v>
      </c>
      <c r="G163" s="2">
        <v>1503197.3900000001</v>
      </c>
      <c r="H163" s="2">
        <v>575502.99</v>
      </c>
    </row>
    <row r="164" spans="1:8">
      <c r="A164" t="s">
        <v>869</v>
      </c>
      <c r="B164" t="s">
        <v>354</v>
      </c>
      <c r="C164" s="1" t="s">
        <v>353</v>
      </c>
      <c r="D164" t="s">
        <v>1264</v>
      </c>
      <c r="E164" s="2">
        <v>56862.79</v>
      </c>
      <c r="F164" s="2">
        <v>35943.199999999997</v>
      </c>
      <c r="G164" s="2">
        <v>56862.79</v>
      </c>
      <c r="H164" s="2">
        <v>43979.6</v>
      </c>
    </row>
    <row r="165" spans="1:8">
      <c r="A165" t="s">
        <v>870</v>
      </c>
      <c r="B165" t="s">
        <v>420</v>
      </c>
      <c r="C165" s="1" t="s">
        <v>419</v>
      </c>
      <c r="D165" t="s">
        <v>1265</v>
      </c>
      <c r="E165" s="2">
        <v>40029.770000000004</v>
      </c>
      <c r="F165" s="2">
        <v>38168.559999999998</v>
      </c>
      <c r="G165" s="2">
        <v>40029.770000000004</v>
      </c>
      <c r="H165" s="2">
        <v>38575.18</v>
      </c>
    </row>
    <row r="166" spans="1:8">
      <c r="A166" t="s">
        <v>871</v>
      </c>
      <c r="B166" t="s">
        <v>478</v>
      </c>
      <c r="C166" s="1" t="s">
        <v>477</v>
      </c>
      <c r="D166" t="s">
        <v>1266</v>
      </c>
      <c r="E166" s="2">
        <v>294107.64</v>
      </c>
      <c r="F166" s="2">
        <v>167514.64000000001</v>
      </c>
      <c r="G166" s="2">
        <v>294107.64</v>
      </c>
      <c r="H166" s="2">
        <v>167514.64000000001</v>
      </c>
    </row>
    <row r="167" spans="1:8">
      <c r="A167" t="s">
        <v>872</v>
      </c>
      <c r="B167" t="s">
        <v>417</v>
      </c>
      <c r="C167" s="1" t="s">
        <v>416</v>
      </c>
      <c r="D167" t="s">
        <v>1267</v>
      </c>
      <c r="E167" s="2">
        <v>38452.58</v>
      </c>
      <c r="F167" s="2">
        <v>36583.800000000003</v>
      </c>
      <c r="G167" s="2">
        <v>38452.58</v>
      </c>
      <c r="H167" s="2">
        <v>36993.780000000006</v>
      </c>
    </row>
    <row r="168" spans="1:8">
      <c r="A168" t="s">
        <v>873</v>
      </c>
      <c r="B168" t="s">
        <v>382</v>
      </c>
      <c r="C168" s="1" t="s">
        <v>381</v>
      </c>
      <c r="D168" t="s">
        <v>1268</v>
      </c>
      <c r="E168" s="2">
        <v>146786.34</v>
      </c>
      <c r="F168" s="2">
        <v>139786.34</v>
      </c>
      <c r="G168" s="2">
        <v>146786.34</v>
      </c>
      <c r="H168" s="2">
        <v>139786.34</v>
      </c>
    </row>
    <row r="169" spans="1:8">
      <c r="A169" t="s">
        <v>874</v>
      </c>
      <c r="B169" t="s">
        <v>569</v>
      </c>
      <c r="C169" s="1" t="s">
        <v>568</v>
      </c>
      <c r="D169" t="s">
        <v>1269</v>
      </c>
      <c r="E169" s="2">
        <v>26155</v>
      </c>
      <c r="F169" s="2">
        <v>21004.5</v>
      </c>
      <c r="G169" s="2">
        <v>26155</v>
      </c>
      <c r="H169" s="2">
        <v>21004.5</v>
      </c>
    </row>
    <row r="170" spans="1:8">
      <c r="A170" t="s">
        <v>875</v>
      </c>
      <c r="B170" t="s">
        <v>585</v>
      </c>
      <c r="C170" s="1" t="s">
        <v>584</v>
      </c>
      <c r="D170" t="s">
        <v>1270</v>
      </c>
      <c r="E170" s="2">
        <v>48292</v>
      </c>
      <c r="F170" s="2">
        <v>7500</v>
      </c>
      <c r="G170" s="2">
        <v>48292</v>
      </c>
      <c r="H170" s="2">
        <v>7500</v>
      </c>
    </row>
    <row r="171" spans="1:8">
      <c r="A171" t="s">
        <v>876</v>
      </c>
      <c r="B171" t="s">
        <v>486</v>
      </c>
      <c r="C171" s="1" t="s">
        <v>485</v>
      </c>
      <c r="D171" t="s">
        <v>1271</v>
      </c>
      <c r="E171" s="2">
        <v>2438133.8199999998</v>
      </c>
      <c r="F171" s="2">
        <v>0</v>
      </c>
      <c r="G171" s="2">
        <v>2438133.8199999998</v>
      </c>
      <c r="H171" s="2">
        <v>0</v>
      </c>
    </row>
    <row r="172" spans="1:8">
      <c r="A172" t="s">
        <v>877</v>
      </c>
      <c r="B172" t="s">
        <v>379</v>
      </c>
      <c r="C172" s="1" t="s">
        <v>378</v>
      </c>
      <c r="D172" t="s">
        <v>1272</v>
      </c>
      <c r="E172" s="2">
        <v>799841</v>
      </c>
      <c r="F172" s="2">
        <v>125517.44</v>
      </c>
      <c r="G172" s="2">
        <v>799841</v>
      </c>
      <c r="H172" s="2">
        <v>459317.94</v>
      </c>
    </row>
    <row r="173" spans="1:8">
      <c r="A173" t="s">
        <v>878</v>
      </c>
      <c r="B173" t="s">
        <v>567</v>
      </c>
      <c r="C173" s="1" t="s">
        <v>566</v>
      </c>
      <c r="D173" t="s">
        <v>1273</v>
      </c>
      <c r="E173" s="2">
        <v>17550</v>
      </c>
      <c r="F173" s="2">
        <v>12860</v>
      </c>
      <c r="G173" s="2">
        <v>17550</v>
      </c>
      <c r="H173" s="2">
        <v>12860</v>
      </c>
    </row>
    <row r="174" spans="1:8">
      <c r="A174" t="s">
        <v>879</v>
      </c>
      <c r="B174" t="s">
        <v>494</v>
      </c>
      <c r="C174" s="1" t="s">
        <v>493</v>
      </c>
      <c r="D174" t="s">
        <v>1274</v>
      </c>
      <c r="E174" s="2">
        <v>73186.78</v>
      </c>
      <c r="F174" s="2">
        <v>69186.78</v>
      </c>
      <c r="G174" s="2">
        <v>73186.78</v>
      </c>
      <c r="H174" s="2">
        <v>69186.78</v>
      </c>
    </row>
    <row r="175" spans="1:8">
      <c r="A175" t="s">
        <v>880</v>
      </c>
      <c r="B175" t="s">
        <v>377</v>
      </c>
      <c r="C175" s="1" t="s">
        <v>376</v>
      </c>
      <c r="D175" t="s">
        <v>1275</v>
      </c>
      <c r="E175" s="2">
        <v>34947.160000000003</v>
      </c>
      <c r="F175" s="2">
        <v>28931.77</v>
      </c>
      <c r="G175" s="2">
        <v>34947.160000000003</v>
      </c>
      <c r="H175" s="2">
        <v>29219.11</v>
      </c>
    </row>
    <row r="176" spans="1:8">
      <c r="A176" t="s">
        <v>881</v>
      </c>
      <c r="B176" t="s">
        <v>13</v>
      </c>
      <c r="C176" s="1" t="s">
        <v>12</v>
      </c>
      <c r="D176" t="s">
        <v>1276</v>
      </c>
      <c r="E176" s="2">
        <v>1963897.3200000003</v>
      </c>
      <c r="F176" s="2">
        <v>1963897.3199999998</v>
      </c>
      <c r="G176" s="2">
        <v>1963897.3200000003</v>
      </c>
      <c r="H176" s="2">
        <v>1963897.3199999998</v>
      </c>
    </row>
    <row r="177" spans="1:8">
      <c r="A177" t="s">
        <v>882</v>
      </c>
      <c r="B177" t="s">
        <v>222</v>
      </c>
      <c r="C177" s="1" t="s">
        <v>221</v>
      </c>
      <c r="D177" t="s">
        <v>1277</v>
      </c>
      <c r="E177" s="2">
        <v>396312.42999999993</v>
      </c>
      <c r="F177" s="2">
        <v>396312.43</v>
      </c>
      <c r="G177" s="2">
        <v>396312.42999999993</v>
      </c>
      <c r="H177" s="2">
        <v>396312.43</v>
      </c>
    </row>
    <row r="178" spans="1:8">
      <c r="A178" t="s">
        <v>883</v>
      </c>
      <c r="B178" t="s">
        <v>222</v>
      </c>
      <c r="C178" s="1" t="s">
        <v>256</v>
      </c>
      <c r="D178" t="s">
        <v>1277</v>
      </c>
      <c r="E178" s="2">
        <v>284996.25000000006</v>
      </c>
      <c r="F178" s="2">
        <v>284996.25</v>
      </c>
      <c r="G178" s="2">
        <v>284996.25000000006</v>
      </c>
      <c r="H178" s="2">
        <v>284996.25</v>
      </c>
    </row>
    <row r="179" spans="1:8">
      <c r="A179" t="s">
        <v>884</v>
      </c>
      <c r="B179" t="s">
        <v>351</v>
      </c>
      <c r="C179" s="1" t="s">
        <v>350</v>
      </c>
      <c r="D179" t="s">
        <v>1278</v>
      </c>
      <c r="E179" s="2">
        <v>504591.78</v>
      </c>
      <c r="F179" s="2">
        <v>412326.67000000004</v>
      </c>
      <c r="G179" s="2">
        <v>504586.42000000004</v>
      </c>
      <c r="H179" s="2">
        <v>412321.31000000006</v>
      </c>
    </row>
    <row r="180" spans="1:8">
      <c r="A180" t="s">
        <v>885</v>
      </c>
      <c r="B180" t="s">
        <v>351</v>
      </c>
      <c r="C180" s="1" t="s">
        <v>392</v>
      </c>
      <c r="D180" t="s">
        <v>1278</v>
      </c>
      <c r="E180" s="2">
        <v>77378.959999999992</v>
      </c>
      <c r="F180" s="2">
        <v>6995.25</v>
      </c>
      <c r="G180" s="2">
        <v>77378.959999999992</v>
      </c>
      <c r="H180" s="2">
        <v>6995.25</v>
      </c>
    </row>
    <row r="181" spans="1:8">
      <c r="A181" t="s">
        <v>886</v>
      </c>
      <c r="B181" t="s">
        <v>406</v>
      </c>
      <c r="C181" s="1" t="s">
        <v>405</v>
      </c>
      <c r="D181" t="s">
        <v>1279</v>
      </c>
      <c r="E181" s="2">
        <v>1069177.3500000001</v>
      </c>
      <c r="F181" s="2">
        <v>546747.99</v>
      </c>
      <c r="G181" s="2">
        <v>1069177.3500000001</v>
      </c>
      <c r="H181" s="2">
        <v>546747.99</v>
      </c>
    </row>
    <row r="182" spans="1:8">
      <c r="A182" t="s">
        <v>887</v>
      </c>
      <c r="B182" t="s">
        <v>460</v>
      </c>
      <c r="C182" s="1" t="s">
        <v>481</v>
      </c>
      <c r="D182" t="s">
        <v>1280</v>
      </c>
      <c r="E182" s="2">
        <v>140259</v>
      </c>
      <c r="F182" s="2">
        <v>128459</v>
      </c>
      <c r="G182" s="2">
        <v>140259</v>
      </c>
      <c r="H182" s="2">
        <v>128459</v>
      </c>
    </row>
    <row r="183" spans="1:8">
      <c r="A183" t="s">
        <v>888</v>
      </c>
      <c r="B183" t="s">
        <v>460</v>
      </c>
      <c r="C183" s="1" t="s">
        <v>459</v>
      </c>
      <c r="D183" t="s">
        <v>1280</v>
      </c>
      <c r="E183" s="2">
        <v>109734.57</v>
      </c>
      <c r="F183" s="2">
        <v>11540</v>
      </c>
      <c r="G183" s="2">
        <v>109734.57</v>
      </c>
      <c r="H183" s="2">
        <v>11540</v>
      </c>
    </row>
    <row r="184" spans="1:8">
      <c r="A184" t="s">
        <v>889</v>
      </c>
      <c r="B184" t="s">
        <v>224</v>
      </c>
      <c r="C184" s="1" t="s">
        <v>223</v>
      </c>
      <c r="D184" t="s">
        <v>1281</v>
      </c>
      <c r="E184" s="2">
        <v>194760.84</v>
      </c>
      <c r="F184" s="2">
        <v>194518.88000000003</v>
      </c>
      <c r="G184" s="2">
        <v>194760.84</v>
      </c>
      <c r="H184" s="2">
        <v>194518.88000000003</v>
      </c>
    </row>
    <row r="185" spans="1:8">
      <c r="A185" t="s">
        <v>890</v>
      </c>
      <c r="B185" t="s">
        <v>627</v>
      </c>
      <c r="C185" s="1" t="s">
        <v>626</v>
      </c>
      <c r="D185" t="s">
        <v>1282</v>
      </c>
      <c r="E185" s="2">
        <v>166000</v>
      </c>
      <c r="F185" s="2">
        <v>164474.62</v>
      </c>
      <c r="G185" s="2">
        <v>166000</v>
      </c>
      <c r="H185" s="2">
        <v>164474.62</v>
      </c>
    </row>
    <row r="186" spans="1:8">
      <c r="A186" t="s">
        <v>891</v>
      </c>
      <c r="B186" t="s">
        <v>501</v>
      </c>
      <c r="C186" s="1" t="s">
        <v>405</v>
      </c>
      <c r="D186" t="s">
        <v>1279</v>
      </c>
      <c r="E186" s="2">
        <v>821931</v>
      </c>
      <c r="F186" s="2">
        <v>0</v>
      </c>
      <c r="G186" s="2">
        <v>821931</v>
      </c>
      <c r="H186" s="2">
        <v>0</v>
      </c>
    </row>
    <row r="187" spans="1:8">
      <c r="A187" t="s">
        <v>892</v>
      </c>
      <c r="B187" t="s">
        <v>529</v>
      </c>
      <c r="C187" s="1" t="s">
        <v>405</v>
      </c>
      <c r="D187" t="s">
        <v>1279</v>
      </c>
      <c r="E187" s="2">
        <v>12055</v>
      </c>
      <c r="F187" s="2">
        <v>12055</v>
      </c>
      <c r="G187" s="2">
        <v>12055</v>
      </c>
      <c r="H187" s="2">
        <v>12055</v>
      </c>
    </row>
    <row r="188" spans="1:8">
      <c r="A188" t="s">
        <v>893</v>
      </c>
      <c r="B188" t="s">
        <v>170</v>
      </c>
      <c r="C188" s="1" t="s">
        <v>169</v>
      </c>
      <c r="D188" t="s">
        <v>1283</v>
      </c>
      <c r="E188" s="2">
        <v>2391913.9800000004</v>
      </c>
      <c r="F188" s="2">
        <v>1593145.65</v>
      </c>
      <c r="G188" s="2">
        <v>2391913.9800000004</v>
      </c>
      <c r="H188" s="2">
        <v>1825258.72</v>
      </c>
    </row>
    <row r="189" spans="1:8">
      <c r="A189" t="s">
        <v>894</v>
      </c>
      <c r="B189" t="s">
        <v>170</v>
      </c>
      <c r="C189" s="1" t="s">
        <v>407</v>
      </c>
      <c r="D189" t="s">
        <v>1283</v>
      </c>
      <c r="E189" s="2">
        <v>109324.18</v>
      </c>
      <c r="F189" s="2">
        <v>100453.18</v>
      </c>
      <c r="G189" s="2">
        <v>109324.18</v>
      </c>
      <c r="H189" s="2">
        <v>100453.18</v>
      </c>
    </row>
    <row r="190" spans="1:8">
      <c r="A190" t="s">
        <v>895</v>
      </c>
      <c r="B190" t="s">
        <v>688</v>
      </c>
      <c r="C190" s="1" t="s">
        <v>687</v>
      </c>
      <c r="D190" t="s">
        <v>1284</v>
      </c>
      <c r="E190" s="2">
        <v>142714.5</v>
      </c>
      <c r="F190" s="2">
        <v>142714.5</v>
      </c>
      <c r="G190" s="2">
        <v>142714.5</v>
      </c>
      <c r="H190" s="2">
        <v>142714.5</v>
      </c>
    </row>
    <row r="191" spans="1:8">
      <c r="A191" t="s">
        <v>896</v>
      </c>
      <c r="B191" t="s">
        <v>179</v>
      </c>
      <c r="C191" s="1" t="s">
        <v>186</v>
      </c>
      <c r="D191" t="s">
        <v>1285</v>
      </c>
      <c r="E191" s="2">
        <v>1897074.5199999996</v>
      </c>
      <c r="F191" s="2">
        <v>1695636.57</v>
      </c>
      <c r="G191" s="2">
        <v>1897074.5199999996</v>
      </c>
      <c r="H191" s="2">
        <v>1695636.57</v>
      </c>
    </row>
    <row r="192" spans="1:8">
      <c r="A192" t="s">
        <v>897</v>
      </c>
      <c r="B192" t="s">
        <v>179</v>
      </c>
      <c r="C192" s="1" t="s">
        <v>178</v>
      </c>
      <c r="D192" t="s">
        <v>1285</v>
      </c>
      <c r="E192" s="2">
        <v>888705.01</v>
      </c>
      <c r="F192" s="2">
        <v>880476.01</v>
      </c>
      <c r="G192" s="2">
        <v>888705.01</v>
      </c>
      <c r="H192" s="2">
        <v>880476.01</v>
      </c>
    </row>
    <row r="193" spans="1:8">
      <c r="A193" t="s">
        <v>898</v>
      </c>
      <c r="B193" t="s">
        <v>686</v>
      </c>
      <c r="C193" s="1" t="s">
        <v>685</v>
      </c>
      <c r="D193" t="s">
        <v>1286</v>
      </c>
      <c r="E193" s="2">
        <v>261955.77000000002</v>
      </c>
      <c r="F193" s="2">
        <v>261955.77</v>
      </c>
      <c r="G193" s="2">
        <v>261955.77000000002</v>
      </c>
      <c r="H193" s="2">
        <v>261955.77</v>
      </c>
    </row>
    <row r="194" spans="1:8">
      <c r="A194" t="s">
        <v>899</v>
      </c>
      <c r="B194" t="s">
        <v>418</v>
      </c>
      <c r="C194" s="1" t="s">
        <v>363</v>
      </c>
      <c r="D194" t="s">
        <v>1287</v>
      </c>
      <c r="E194" s="2">
        <v>6532343.2199999997</v>
      </c>
      <c r="F194" s="2">
        <v>1531871.89</v>
      </c>
      <c r="G194" s="2">
        <v>6532343.2199999997</v>
      </c>
      <c r="H194" s="2">
        <v>1531871.89</v>
      </c>
    </row>
    <row r="195" spans="1:8">
      <c r="A195" t="s">
        <v>900</v>
      </c>
      <c r="B195" t="s">
        <v>418</v>
      </c>
      <c r="C195" s="1" t="s">
        <v>425</v>
      </c>
      <c r="D195" t="s">
        <v>1287</v>
      </c>
      <c r="E195" s="2">
        <v>4860259.2799999993</v>
      </c>
      <c r="F195" s="2">
        <v>1952261.3399999999</v>
      </c>
      <c r="G195" s="2">
        <v>4860259.2799999993</v>
      </c>
      <c r="H195" s="2">
        <v>2176111.5499999998</v>
      </c>
    </row>
    <row r="196" spans="1:8">
      <c r="A196" t="s">
        <v>901</v>
      </c>
      <c r="B196" t="s">
        <v>384</v>
      </c>
      <c r="C196" s="1" t="s">
        <v>383</v>
      </c>
      <c r="D196" t="s">
        <v>1288</v>
      </c>
      <c r="E196" s="2">
        <v>81444.61</v>
      </c>
      <c r="F196" s="2">
        <v>73371.61</v>
      </c>
      <c r="G196" s="2">
        <v>81444.61</v>
      </c>
      <c r="H196" s="2">
        <v>73371.61</v>
      </c>
    </row>
    <row r="197" spans="1:8">
      <c r="A197" t="s">
        <v>902</v>
      </c>
      <c r="B197" t="s">
        <v>667</v>
      </c>
      <c r="C197" s="1" t="s">
        <v>666</v>
      </c>
      <c r="D197" t="s">
        <v>1289</v>
      </c>
      <c r="E197" s="2">
        <v>524061.76</v>
      </c>
      <c r="F197" s="2">
        <v>524061.76</v>
      </c>
      <c r="G197" s="2">
        <v>524061.76</v>
      </c>
      <c r="H197" s="2">
        <v>524061.76</v>
      </c>
    </row>
    <row r="198" spans="1:8">
      <c r="A198" t="s">
        <v>903</v>
      </c>
      <c r="B198" t="s">
        <v>364</v>
      </c>
      <c r="C198" s="1" t="s">
        <v>363</v>
      </c>
      <c r="D198" t="s">
        <v>1287</v>
      </c>
      <c r="E198" s="2">
        <v>666333.9</v>
      </c>
      <c r="F198" s="2">
        <v>0</v>
      </c>
      <c r="G198" s="2">
        <v>666333.9</v>
      </c>
      <c r="H198" s="2">
        <v>53068.1</v>
      </c>
    </row>
    <row r="199" spans="1:8">
      <c r="A199" t="s">
        <v>904</v>
      </c>
      <c r="B199" t="s">
        <v>389</v>
      </c>
      <c r="C199" s="1" t="s">
        <v>388</v>
      </c>
      <c r="D199" t="s">
        <v>1290</v>
      </c>
      <c r="E199" s="2">
        <v>551044</v>
      </c>
      <c r="F199" s="2">
        <v>546484</v>
      </c>
      <c r="G199" s="2">
        <v>551044</v>
      </c>
      <c r="H199" s="2">
        <v>546484</v>
      </c>
    </row>
    <row r="200" spans="1:8">
      <c r="A200" t="s">
        <v>905</v>
      </c>
      <c r="B200" t="s">
        <v>98</v>
      </c>
      <c r="C200" s="1" t="s">
        <v>97</v>
      </c>
      <c r="D200" t="s">
        <v>1291</v>
      </c>
      <c r="E200" s="2">
        <v>638588.62999999989</v>
      </c>
      <c r="F200" s="2">
        <v>637857.46999999986</v>
      </c>
      <c r="G200" s="2">
        <v>638588.62999999989</v>
      </c>
      <c r="H200" s="2">
        <v>637857.46999999986</v>
      </c>
    </row>
    <row r="201" spans="1:8">
      <c r="A201" t="s">
        <v>906</v>
      </c>
      <c r="B201" t="s">
        <v>98</v>
      </c>
      <c r="C201" s="1" t="s">
        <v>395</v>
      </c>
      <c r="D201" t="s">
        <v>1291</v>
      </c>
      <c r="E201" s="2">
        <v>774000</v>
      </c>
      <c r="F201" s="2">
        <v>774000</v>
      </c>
      <c r="G201" s="2">
        <v>774000</v>
      </c>
      <c r="H201" s="2">
        <v>774000</v>
      </c>
    </row>
    <row r="202" spans="1:8">
      <c r="A202" t="s">
        <v>907</v>
      </c>
      <c r="B202" t="s">
        <v>98</v>
      </c>
      <c r="C202" s="1" t="s">
        <v>689</v>
      </c>
      <c r="D202" t="s">
        <v>1291</v>
      </c>
      <c r="E202" s="2">
        <v>20745</v>
      </c>
      <c r="F202" s="2">
        <v>20745</v>
      </c>
      <c r="G202" s="2">
        <v>20745</v>
      </c>
      <c r="H202" s="2">
        <v>20745</v>
      </c>
    </row>
    <row r="203" spans="1:8">
      <c r="A203" t="s">
        <v>908</v>
      </c>
      <c r="B203" t="s">
        <v>522</v>
      </c>
      <c r="C203" s="1" t="s">
        <v>521</v>
      </c>
      <c r="D203" t="s">
        <v>1292</v>
      </c>
      <c r="E203" s="2">
        <v>74999.33</v>
      </c>
      <c r="F203" s="2">
        <v>32218.100000000002</v>
      </c>
      <c r="G203" s="2">
        <v>74999.33</v>
      </c>
      <c r="H203" s="2">
        <v>32218.100000000002</v>
      </c>
    </row>
    <row r="204" spans="1:8">
      <c r="A204" t="s">
        <v>909</v>
      </c>
      <c r="B204" t="s">
        <v>361</v>
      </c>
      <c r="C204" s="1" t="s">
        <v>360</v>
      </c>
      <c r="D204" t="s">
        <v>1293</v>
      </c>
      <c r="E204" s="2">
        <v>95119</v>
      </c>
      <c r="F204" s="2">
        <v>90559</v>
      </c>
      <c r="G204" s="2">
        <v>95119</v>
      </c>
      <c r="H204" s="2">
        <v>90559</v>
      </c>
    </row>
    <row r="205" spans="1:8">
      <c r="A205" t="s">
        <v>910</v>
      </c>
      <c r="B205" t="s">
        <v>467</v>
      </c>
      <c r="C205" s="1" t="s">
        <v>466</v>
      </c>
      <c r="D205" t="s">
        <v>1293</v>
      </c>
      <c r="E205" s="2">
        <v>95119</v>
      </c>
      <c r="F205" s="2">
        <v>90559</v>
      </c>
      <c r="G205" s="2">
        <v>95119</v>
      </c>
      <c r="H205" s="2">
        <v>90559</v>
      </c>
    </row>
    <row r="206" spans="1:8">
      <c r="A206" t="s">
        <v>911</v>
      </c>
      <c r="B206" t="s">
        <v>263</v>
      </c>
      <c r="C206" s="1" t="s">
        <v>262</v>
      </c>
      <c r="D206" t="s">
        <v>1294</v>
      </c>
      <c r="E206" s="2">
        <v>2705925.0900000003</v>
      </c>
      <c r="F206" s="2">
        <v>2192952.59</v>
      </c>
      <c r="G206" s="2">
        <v>2705925.0900000003</v>
      </c>
      <c r="H206" s="2">
        <v>2192952.59</v>
      </c>
    </row>
    <row r="207" spans="1:8">
      <c r="A207" t="s">
        <v>912</v>
      </c>
      <c r="B207" t="s">
        <v>444</v>
      </c>
      <c r="C207" s="1" t="s">
        <v>443</v>
      </c>
      <c r="D207" t="s">
        <v>1295</v>
      </c>
      <c r="E207" s="2">
        <v>29411</v>
      </c>
      <c r="F207" s="2">
        <v>29411.000000000004</v>
      </c>
      <c r="G207" s="2">
        <v>29411</v>
      </c>
      <c r="H207" s="2">
        <v>29411.000000000004</v>
      </c>
    </row>
    <row r="208" spans="1:8">
      <c r="A208" t="s">
        <v>913</v>
      </c>
      <c r="B208" t="s">
        <v>489</v>
      </c>
      <c r="C208" s="1" t="s">
        <v>488</v>
      </c>
      <c r="D208" t="s">
        <v>1295</v>
      </c>
      <c r="E208" s="2">
        <v>104225.42</v>
      </c>
      <c r="F208" s="2">
        <v>99665.42</v>
      </c>
      <c r="G208" s="2">
        <v>104225.42</v>
      </c>
      <c r="H208" s="2">
        <v>99665.42</v>
      </c>
    </row>
    <row r="209" spans="1:8">
      <c r="A209" t="s">
        <v>914</v>
      </c>
      <c r="B209" t="s">
        <v>505</v>
      </c>
      <c r="C209" s="1" t="s">
        <v>504</v>
      </c>
      <c r="D209" t="s">
        <v>1296</v>
      </c>
      <c r="E209" s="2">
        <v>29788</v>
      </c>
      <c r="F209" s="2">
        <v>29788</v>
      </c>
      <c r="G209" s="2">
        <v>29788</v>
      </c>
      <c r="H209" s="2">
        <v>29788</v>
      </c>
    </row>
    <row r="210" spans="1:8">
      <c r="A210" t="s">
        <v>915</v>
      </c>
      <c r="B210" t="s">
        <v>441</v>
      </c>
      <c r="C210" s="1" t="s">
        <v>440</v>
      </c>
      <c r="D210" t="s">
        <v>1295</v>
      </c>
      <c r="E210" s="2">
        <v>31147.399999999994</v>
      </c>
      <c r="F210" s="2">
        <v>31147.4</v>
      </c>
      <c r="G210" s="2">
        <v>31147.399999999994</v>
      </c>
      <c r="H210" s="2">
        <v>31147.4</v>
      </c>
    </row>
    <row r="211" spans="1:8">
      <c r="A211" t="s">
        <v>916</v>
      </c>
      <c r="B211" t="s">
        <v>198</v>
      </c>
      <c r="C211" s="1" t="s">
        <v>197</v>
      </c>
      <c r="D211" t="s">
        <v>1297</v>
      </c>
      <c r="E211" s="2">
        <v>469874.11999999988</v>
      </c>
      <c r="F211" s="2">
        <v>469874.12</v>
      </c>
      <c r="G211" s="2">
        <v>469874.11999999988</v>
      </c>
      <c r="H211" s="2">
        <v>469874.12</v>
      </c>
    </row>
    <row r="212" spans="1:8">
      <c r="A212" t="s">
        <v>917</v>
      </c>
      <c r="B212" t="s">
        <v>198</v>
      </c>
      <c r="C212" s="1" t="s">
        <v>429</v>
      </c>
      <c r="D212" t="s">
        <v>1295</v>
      </c>
      <c r="E212" s="2">
        <v>78340.42</v>
      </c>
      <c r="F212" s="2">
        <v>73780.42</v>
      </c>
      <c r="G212" s="2">
        <v>78340.42</v>
      </c>
      <c r="H212" s="2">
        <v>73780.42</v>
      </c>
    </row>
    <row r="213" spans="1:8">
      <c r="A213" t="s">
        <v>918</v>
      </c>
      <c r="B213" t="s">
        <v>198</v>
      </c>
      <c r="C213" s="1" t="s">
        <v>428</v>
      </c>
      <c r="D213" t="s">
        <v>1298</v>
      </c>
      <c r="E213" s="2">
        <v>229093.7</v>
      </c>
      <c r="F213" s="2">
        <v>229093.7</v>
      </c>
      <c r="G213" s="2">
        <v>229093.7</v>
      </c>
      <c r="H213" s="2">
        <v>229093.7</v>
      </c>
    </row>
    <row r="214" spans="1:8">
      <c r="A214" t="s">
        <v>919</v>
      </c>
      <c r="B214" t="s">
        <v>435</v>
      </c>
      <c r="C214" s="1" t="s">
        <v>434</v>
      </c>
      <c r="D214" t="s">
        <v>1295</v>
      </c>
      <c r="E214" s="2">
        <v>196845.41999999998</v>
      </c>
      <c r="F214" s="2">
        <v>187985.42</v>
      </c>
      <c r="G214" s="2">
        <v>196845.41999999998</v>
      </c>
      <c r="H214" s="2">
        <v>187985.42</v>
      </c>
    </row>
    <row r="215" spans="1:8">
      <c r="A215" t="s">
        <v>920</v>
      </c>
      <c r="B215" t="s">
        <v>397</v>
      </c>
      <c r="C215" s="1" t="s">
        <v>396</v>
      </c>
      <c r="D215" t="s">
        <v>1295</v>
      </c>
      <c r="E215" s="2">
        <v>36338.420000000006</v>
      </c>
      <c r="F215" s="2">
        <v>36338.42</v>
      </c>
      <c r="G215" s="2">
        <v>36338.420000000006</v>
      </c>
      <c r="H215" s="2">
        <v>36338.42</v>
      </c>
    </row>
    <row r="216" spans="1:8">
      <c r="A216" t="s">
        <v>921</v>
      </c>
      <c r="B216" t="s">
        <v>204</v>
      </c>
      <c r="C216" s="1" t="s">
        <v>203</v>
      </c>
      <c r="D216" t="s">
        <v>1297</v>
      </c>
      <c r="E216" s="2">
        <v>481971.65999999992</v>
      </c>
      <c r="F216" s="2">
        <v>481971.66000000003</v>
      </c>
      <c r="G216" s="2">
        <v>481971.65999999992</v>
      </c>
      <c r="H216" s="2">
        <v>481971.66000000003</v>
      </c>
    </row>
    <row r="217" spans="1:8">
      <c r="A217" t="s">
        <v>922</v>
      </c>
      <c r="B217" t="s">
        <v>204</v>
      </c>
      <c r="C217" s="1" t="s">
        <v>513</v>
      </c>
      <c r="D217" t="s">
        <v>1295</v>
      </c>
      <c r="E217" s="2">
        <v>36338.420000000006</v>
      </c>
      <c r="F217" s="2">
        <v>36338.42</v>
      </c>
      <c r="G217" s="2">
        <v>36338.420000000006</v>
      </c>
      <c r="H217" s="2">
        <v>36338.42</v>
      </c>
    </row>
    <row r="218" spans="1:8">
      <c r="A218" t="s">
        <v>923</v>
      </c>
      <c r="B218" t="s">
        <v>204</v>
      </c>
      <c r="C218" s="1" t="s">
        <v>492</v>
      </c>
      <c r="D218" t="s">
        <v>1298</v>
      </c>
      <c r="E218" s="2">
        <v>164859.40000000002</v>
      </c>
      <c r="F218" s="2">
        <v>164859.4</v>
      </c>
      <c r="G218" s="2">
        <v>164859.40000000002</v>
      </c>
      <c r="H218" s="2">
        <v>164859.4</v>
      </c>
    </row>
    <row r="219" spans="1:8">
      <c r="A219" t="s">
        <v>924</v>
      </c>
      <c r="B219" t="s">
        <v>196</v>
      </c>
      <c r="C219" s="1" t="s">
        <v>195</v>
      </c>
      <c r="D219" t="s">
        <v>1297</v>
      </c>
      <c r="E219" s="2">
        <v>515026.94999999995</v>
      </c>
      <c r="F219" s="2">
        <v>515026.95</v>
      </c>
      <c r="G219" s="2">
        <v>515026.94999999995</v>
      </c>
      <c r="H219" s="2">
        <v>515026.95</v>
      </c>
    </row>
    <row r="220" spans="1:8">
      <c r="A220" t="s">
        <v>925</v>
      </c>
      <c r="B220" t="s">
        <v>196</v>
      </c>
      <c r="C220" s="1" t="s">
        <v>496</v>
      </c>
      <c r="D220" t="s">
        <v>1295</v>
      </c>
      <c r="E220" s="2">
        <v>36338.42</v>
      </c>
      <c r="F220" s="2">
        <v>36338.42</v>
      </c>
      <c r="G220" s="2">
        <v>36338.42</v>
      </c>
      <c r="H220" s="2">
        <v>36338.42</v>
      </c>
    </row>
    <row r="221" spans="1:8">
      <c r="A221" t="s">
        <v>926</v>
      </c>
      <c r="B221" t="s">
        <v>474</v>
      </c>
      <c r="C221" s="1" t="s">
        <v>473</v>
      </c>
      <c r="D221" t="s">
        <v>1295</v>
      </c>
      <c r="E221" s="2">
        <v>142175.41999999998</v>
      </c>
      <c r="F221" s="2">
        <v>137615.42000000001</v>
      </c>
      <c r="G221" s="2">
        <v>142175.41999999998</v>
      </c>
      <c r="H221" s="2">
        <v>137615.42000000001</v>
      </c>
    </row>
    <row r="222" spans="1:8">
      <c r="A222" t="s">
        <v>927</v>
      </c>
      <c r="B222" t="s">
        <v>202</v>
      </c>
      <c r="C222" s="1" t="s">
        <v>201</v>
      </c>
      <c r="D222" t="s">
        <v>1299</v>
      </c>
      <c r="E222" s="2">
        <v>604956.82999999984</v>
      </c>
      <c r="F222" s="2">
        <v>604956.83000000007</v>
      </c>
      <c r="G222" s="2">
        <v>604956.82999999984</v>
      </c>
      <c r="H222" s="2">
        <v>604956.83000000007</v>
      </c>
    </row>
    <row r="223" spans="1:8">
      <c r="A223" t="s">
        <v>928</v>
      </c>
      <c r="B223" t="s">
        <v>202</v>
      </c>
      <c r="C223" s="1" t="s">
        <v>507</v>
      </c>
      <c r="D223" t="s">
        <v>1295</v>
      </c>
      <c r="E223" s="2">
        <v>36338.420000000006</v>
      </c>
      <c r="F223" s="2">
        <v>36338.42</v>
      </c>
      <c r="G223" s="2">
        <v>36338.420000000006</v>
      </c>
      <c r="H223" s="2">
        <v>36338.42</v>
      </c>
    </row>
    <row r="224" spans="1:8">
      <c r="A224" t="s">
        <v>929</v>
      </c>
      <c r="B224" t="s">
        <v>210</v>
      </c>
      <c r="C224" s="1" t="s">
        <v>209</v>
      </c>
      <c r="D224" t="s">
        <v>1299</v>
      </c>
      <c r="E224" s="2">
        <v>557721.82000000007</v>
      </c>
      <c r="F224" s="2">
        <v>557721.81999999995</v>
      </c>
      <c r="G224" s="2">
        <v>557721.82000000007</v>
      </c>
      <c r="H224" s="2">
        <v>557721.81999999995</v>
      </c>
    </row>
    <row r="225" spans="1:8">
      <c r="A225" t="s">
        <v>930</v>
      </c>
      <c r="B225" t="s">
        <v>210</v>
      </c>
      <c r="C225" s="1" t="s">
        <v>632</v>
      </c>
      <c r="D225" t="s">
        <v>1300</v>
      </c>
      <c r="E225" s="2">
        <v>14587.399999999996</v>
      </c>
      <c r="F225" s="2">
        <v>14587.4</v>
      </c>
      <c r="G225" s="2">
        <v>14587.399999999996</v>
      </c>
      <c r="H225" s="2">
        <v>14587.4</v>
      </c>
    </row>
    <row r="226" spans="1:8">
      <c r="A226" t="s">
        <v>931</v>
      </c>
      <c r="B226" t="s">
        <v>386</v>
      </c>
      <c r="C226" s="1" t="s">
        <v>385</v>
      </c>
      <c r="D226" t="s">
        <v>1299</v>
      </c>
      <c r="E226" s="2">
        <v>583740</v>
      </c>
      <c r="F226" s="2">
        <v>583740</v>
      </c>
      <c r="G226" s="2">
        <v>583740</v>
      </c>
      <c r="H226" s="2">
        <v>583740</v>
      </c>
    </row>
    <row r="227" spans="1:8">
      <c r="A227" t="s">
        <v>932</v>
      </c>
      <c r="B227" t="s">
        <v>386</v>
      </c>
      <c r="C227" s="1" t="s">
        <v>506</v>
      </c>
      <c r="D227" t="s">
        <v>1295</v>
      </c>
      <c r="E227" s="2">
        <v>36338.420000000006</v>
      </c>
      <c r="F227" s="2">
        <v>36338.42</v>
      </c>
      <c r="G227" s="2">
        <v>36338.420000000006</v>
      </c>
      <c r="H227" s="2">
        <v>36338.42</v>
      </c>
    </row>
    <row r="228" spans="1:8">
      <c r="A228" t="s">
        <v>933</v>
      </c>
      <c r="B228" t="s">
        <v>386</v>
      </c>
      <c r="C228" s="1" t="s">
        <v>437</v>
      </c>
      <c r="D228" t="s">
        <v>1298</v>
      </c>
      <c r="E228" s="2">
        <v>117190.99999999997</v>
      </c>
      <c r="F228" s="2">
        <v>117191</v>
      </c>
      <c r="G228" s="2">
        <v>117190.99999999997</v>
      </c>
      <c r="H228" s="2">
        <v>117191</v>
      </c>
    </row>
    <row r="229" spans="1:8">
      <c r="A229" t="s">
        <v>934</v>
      </c>
      <c r="B229" t="s">
        <v>366</v>
      </c>
      <c r="C229" s="1" t="s">
        <v>387</v>
      </c>
      <c r="D229" t="s">
        <v>1295</v>
      </c>
      <c r="E229" s="2">
        <v>62892.420000000006</v>
      </c>
      <c r="F229" s="2">
        <v>58332.42</v>
      </c>
      <c r="G229" s="2">
        <v>62892.420000000006</v>
      </c>
      <c r="H229" s="2">
        <v>58332.42</v>
      </c>
    </row>
    <row r="230" spans="1:8">
      <c r="A230" t="s">
        <v>935</v>
      </c>
      <c r="B230" t="s">
        <v>366</v>
      </c>
      <c r="C230" s="1" t="s">
        <v>365</v>
      </c>
      <c r="D230" t="s">
        <v>1298</v>
      </c>
      <c r="E230" s="2">
        <v>298446</v>
      </c>
      <c r="F230" s="2">
        <v>298446</v>
      </c>
      <c r="G230" s="2">
        <v>298446</v>
      </c>
      <c r="H230" s="2">
        <v>298446</v>
      </c>
    </row>
    <row r="231" spans="1:8">
      <c r="A231" t="s">
        <v>936</v>
      </c>
      <c r="B231" t="s">
        <v>194</v>
      </c>
      <c r="C231" s="1" t="s">
        <v>193</v>
      </c>
      <c r="D231" t="s">
        <v>1299</v>
      </c>
      <c r="E231" s="2">
        <v>594602.98</v>
      </c>
      <c r="F231" s="2">
        <v>594602.98</v>
      </c>
      <c r="G231" s="2">
        <v>594602.98</v>
      </c>
      <c r="H231" s="2">
        <v>594602.98</v>
      </c>
    </row>
    <row r="232" spans="1:8">
      <c r="A232" t="s">
        <v>937</v>
      </c>
      <c r="B232" t="s">
        <v>472</v>
      </c>
      <c r="C232" s="1" t="s">
        <v>471</v>
      </c>
      <c r="D232" t="s">
        <v>1299</v>
      </c>
      <c r="E232" s="2">
        <v>183565.37</v>
      </c>
      <c r="F232" s="2">
        <v>183565.36999999997</v>
      </c>
      <c r="G232" s="2">
        <v>183565.37</v>
      </c>
      <c r="H232" s="2">
        <v>183565.36999999997</v>
      </c>
    </row>
    <row r="233" spans="1:8">
      <c r="A233" t="s">
        <v>938</v>
      </c>
      <c r="B233" t="s">
        <v>503</v>
      </c>
      <c r="C233" s="1" t="s">
        <v>502</v>
      </c>
      <c r="D233" t="s">
        <v>1299</v>
      </c>
      <c r="E233" s="2">
        <v>167471.70000000001</v>
      </c>
      <c r="F233" s="2">
        <v>167471.69999999998</v>
      </c>
      <c r="G233" s="2">
        <v>167471.70000000001</v>
      </c>
      <c r="H233" s="2">
        <v>167471.69999999998</v>
      </c>
    </row>
    <row r="234" spans="1:8">
      <c r="A234" t="s">
        <v>939</v>
      </c>
      <c r="B234" t="s">
        <v>457</v>
      </c>
      <c r="C234" s="1" t="s">
        <v>456</v>
      </c>
      <c r="D234" t="s">
        <v>1299</v>
      </c>
      <c r="E234" s="2">
        <v>76017</v>
      </c>
      <c r="F234" s="2">
        <v>76017</v>
      </c>
      <c r="G234" s="2">
        <v>76017</v>
      </c>
      <c r="H234" s="2">
        <v>76017</v>
      </c>
    </row>
    <row r="235" spans="1:8">
      <c r="A235" t="s">
        <v>940</v>
      </c>
      <c r="B235" t="s">
        <v>200</v>
      </c>
      <c r="C235" s="1" t="s">
        <v>199</v>
      </c>
      <c r="D235" t="s">
        <v>1297</v>
      </c>
      <c r="E235" s="2">
        <v>165614.97</v>
      </c>
      <c r="F235" s="2">
        <v>165614.97</v>
      </c>
      <c r="G235" s="2">
        <v>165614.97</v>
      </c>
      <c r="H235" s="2">
        <v>165614.97</v>
      </c>
    </row>
    <row r="236" spans="1:8">
      <c r="A236" t="s">
        <v>941</v>
      </c>
      <c r="B236" t="s">
        <v>618</v>
      </c>
      <c r="C236" s="1" t="s">
        <v>617</v>
      </c>
      <c r="D236" t="s">
        <v>1301</v>
      </c>
      <c r="E236" s="2">
        <v>40115</v>
      </c>
      <c r="F236" s="2">
        <v>1897.8</v>
      </c>
      <c r="G236" s="2">
        <v>40115</v>
      </c>
      <c r="H236" s="2">
        <v>1897.8</v>
      </c>
    </row>
    <row r="237" spans="1:8">
      <c r="A237" t="s">
        <v>942</v>
      </c>
      <c r="B237" t="s">
        <v>284</v>
      </c>
      <c r="C237" s="1" t="s">
        <v>283</v>
      </c>
      <c r="D237" t="s">
        <v>1302</v>
      </c>
      <c r="E237" s="2">
        <v>59927</v>
      </c>
      <c r="F237" s="2">
        <v>26476.45</v>
      </c>
      <c r="G237" s="2">
        <v>59927</v>
      </c>
      <c r="H237" s="2">
        <v>26476.45</v>
      </c>
    </row>
    <row r="238" spans="1:8">
      <c r="A238" t="s">
        <v>943</v>
      </c>
      <c r="B238" t="s">
        <v>630</v>
      </c>
      <c r="C238" s="1" t="s">
        <v>629</v>
      </c>
      <c r="D238" t="s">
        <v>1303</v>
      </c>
      <c r="E238" s="2">
        <v>3693115.59</v>
      </c>
      <c r="F238" s="2">
        <v>793156</v>
      </c>
      <c r="G238" s="2">
        <v>3119698.59</v>
      </c>
      <c r="H238" s="2">
        <v>935732.59</v>
      </c>
    </row>
    <row r="239" spans="1:8">
      <c r="A239" t="s">
        <v>944</v>
      </c>
      <c r="B239" t="s">
        <v>183</v>
      </c>
      <c r="C239" s="1" t="s">
        <v>182</v>
      </c>
      <c r="D239" t="s">
        <v>1304</v>
      </c>
      <c r="E239" s="2">
        <v>795520.6</v>
      </c>
      <c r="F239" s="2">
        <v>46617.510000000009</v>
      </c>
      <c r="G239" s="2">
        <v>795520.6</v>
      </c>
      <c r="H239" s="2">
        <v>46617.510000000009</v>
      </c>
    </row>
    <row r="240" spans="1:8">
      <c r="A240" t="s">
        <v>945</v>
      </c>
      <c r="B240" t="s">
        <v>183</v>
      </c>
      <c r="C240" s="1" t="s">
        <v>422</v>
      </c>
      <c r="D240" t="s">
        <v>1304</v>
      </c>
      <c r="E240" s="2">
        <v>76547</v>
      </c>
      <c r="F240" s="2">
        <v>20497</v>
      </c>
      <c r="G240" s="2">
        <v>76547</v>
      </c>
      <c r="H240" s="2">
        <v>20497</v>
      </c>
    </row>
    <row r="241" spans="1:8">
      <c r="A241" t="s">
        <v>946</v>
      </c>
      <c r="B241" t="s">
        <v>177</v>
      </c>
      <c r="C241" s="1" t="s">
        <v>398</v>
      </c>
      <c r="D241" t="s">
        <v>1305</v>
      </c>
      <c r="E241" s="2">
        <v>52737</v>
      </c>
      <c r="F241" s="2">
        <v>4747.6499999999996</v>
      </c>
      <c r="G241" s="2">
        <v>52737</v>
      </c>
      <c r="H241" s="2">
        <v>4747.6499999999996</v>
      </c>
    </row>
    <row r="242" spans="1:8">
      <c r="A242" t="s">
        <v>947</v>
      </c>
      <c r="B242" t="s">
        <v>177</v>
      </c>
      <c r="C242" s="1" t="s">
        <v>176</v>
      </c>
      <c r="D242" t="s">
        <v>1305</v>
      </c>
      <c r="E242" s="2">
        <v>1234236.1599999999</v>
      </c>
      <c r="F242" s="2">
        <v>30309.260000000002</v>
      </c>
      <c r="G242" s="2">
        <v>1234236.1599999999</v>
      </c>
      <c r="H242" s="2">
        <v>540867.22</v>
      </c>
    </row>
    <row r="243" spans="1:8">
      <c r="A243" t="s">
        <v>948</v>
      </c>
      <c r="B243" t="s">
        <v>695</v>
      </c>
      <c r="C243" s="1" t="s">
        <v>694</v>
      </c>
      <c r="D243" t="s">
        <v>1306</v>
      </c>
      <c r="E243" s="2">
        <v>12158.520000000019</v>
      </c>
      <c r="F243" s="2">
        <v>12158.52</v>
      </c>
      <c r="G243" s="2">
        <v>12158.520000000019</v>
      </c>
      <c r="H243" s="2">
        <v>12158.52</v>
      </c>
    </row>
    <row r="244" spans="1:8">
      <c r="A244" t="s">
        <v>949</v>
      </c>
      <c r="B244" t="s">
        <v>241</v>
      </c>
      <c r="C244" s="1" t="s">
        <v>240</v>
      </c>
      <c r="D244" t="s">
        <v>1307</v>
      </c>
      <c r="E244" s="2">
        <v>1853643.1400000001</v>
      </c>
      <c r="F244" s="2">
        <v>1842018.1400000001</v>
      </c>
      <c r="G244" s="2">
        <v>1853643.1400000001</v>
      </c>
      <c r="H244" s="2">
        <v>1842018.1400000001</v>
      </c>
    </row>
    <row r="245" spans="1:8">
      <c r="A245" t="s">
        <v>950</v>
      </c>
      <c r="B245" t="s">
        <v>241</v>
      </c>
      <c r="C245" s="1" t="s">
        <v>528</v>
      </c>
      <c r="D245" t="s">
        <v>1307</v>
      </c>
      <c r="E245" s="2">
        <v>53273.01</v>
      </c>
      <c r="F245" s="2">
        <v>20116.510000000002</v>
      </c>
      <c r="G245" s="2">
        <v>53273.01</v>
      </c>
      <c r="H245" s="2">
        <v>20116.510000000002</v>
      </c>
    </row>
    <row r="246" spans="1:8">
      <c r="A246" t="s">
        <v>951</v>
      </c>
      <c r="B246" t="s">
        <v>241</v>
      </c>
      <c r="C246" s="1" t="s">
        <v>500</v>
      </c>
      <c r="D246" t="s">
        <v>1307</v>
      </c>
      <c r="E246" s="2">
        <v>61942.09</v>
      </c>
      <c r="F246" s="2">
        <v>48984.6</v>
      </c>
      <c r="G246" s="2">
        <v>61942.09</v>
      </c>
      <c r="H246" s="2">
        <v>48984.6</v>
      </c>
    </row>
    <row r="247" spans="1:8">
      <c r="A247" t="s">
        <v>952</v>
      </c>
      <c r="B247" t="s">
        <v>451</v>
      </c>
      <c r="C247" s="1" t="s">
        <v>450</v>
      </c>
      <c r="D247" t="s">
        <v>1308</v>
      </c>
      <c r="E247" s="2">
        <v>56387.729999999996</v>
      </c>
      <c r="F247" s="2">
        <v>29205.129999999997</v>
      </c>
      <c r="G247" s="2">
        <v>56387.729999999996</v>
      </c>
      <c r="H247" s="2">
        <v>38007.61</v>
      </c>
    </row>
    <row r="248" spans="1:8">
      <c r="A248" t="s">
        <v>953</v>
      </c>
      <c r="B248" t="s">
        <v>206</v>
      </c>
      <c r="C248" s="1" t="s">
        <v>205</v>
      </c>
      <c r="D248" t="s">
        <v>1309</v>
      </c>
      <c r="E248" s="2">
        <v>47611.249999999985</v>
      </c>
      <c r="F248" s="2">
        <v>47611.25</v>
      </c>
      <c r="G248" s="2">
        <v>47611.249999999985</v>
      </c>
      <c r="H248" s="2">
        <v>47611.25</v>
      </c>
    </row>
    <row r="249" spans="1:8">
      <c r="A249" t="s">
        <v>954</v>
      </c>
      <c r="B249" t="s">
        <v>17</v>
      </c>
      <c r="C249" s="1" t="s">
        <v>16</v>
      </c>
      <c r="D249" t="s">
        <v>1310</v>
      </c>
      <c r="E249" s="2">
        <v>1165522.8299999998</v>
      </c>
      <c r="F249" s="2">
        <v>1080507.45</v>
      </c>
      <c r="G249" s="2">
        <v>1165522.8299999998</v>
      </c>
      <c r="H249" s="2">
        <v>1080507.45</v>
      </c>
    </row>
    <row r="250" spans="1:8">
      <c r="A250" t="s">
        <v>955</v>
      </c>
      <c r="B250" t="s">
        <v>192</v>
      </c>
      <c r="C250" s="1" t="s">
        <v>191</v>
      </c>
      <c r="D250" t="s">
        <v>1311</v>
      </c>
      <c r="E250" s="2">
        <v>50730.000000000007</v>
      </c>
      <c r="F250" s="2">
        <v>50730.000000000007</v>
      </c>
      <c r="G250" s="2">
        <v>50730.000000000007</v>
      </c>
      <c r="H250" s="2">
        <v>50730.000000000007</v>
      </c>
    </row>
    <row r="251" spans="1:8">
      <c r="A251" t="s">
        <v>956</v>
      </c>
      <c r="B251" t="s">
        <v>7</v>
      </c>
      <c r="C251" s="1" t="s">
        <v>539</v>
      </c>
      <c r="D251" t="s">
        <v>1312</v>
      </c>
      <c r="E251" s="2">
        <v>446504.82</v>
      </c>
      <c r="F251" s="2">
        <v>446504.82</v>
      </c>
      <c r="G251" s="2">
        <v>446504.82</v>
      </c>
      <c r="H251" s="2">
        <v>446504.82</v>
      </c>
    </row>
    <row r="252" spans="1:8">
      <c r="A252" t="s">
        <v>957</v>
      </c>
      <c r="B252" t="s">
        <v>7</v>
      </c>
      <c r="C252" s="1" t="s">
        <v>6</v>
      </c>
      <c r="D252" t="s">
        <v>1312</v>
      </c>
      <c r="E252" s="2">
        <v>243563.64</v>
      </c>
      <c r="F252" s="2">
        <v>215940.2</v>
      </c>
      <c r="G252" s="2">
        <v>243563.64</v>
      </c>
      <c r="H252" s="2">
        <v>215940.2</v>
      </c>
    </row>
    <row r="253" spans="1:8">
      <c r="A253" t="s">
        <v>958</v>
      </c>
      <c r="B253" t="s">
        <v>190</v>
      </c>
      <c r="C253" s="1" t="s">
        <v>189</v>
      </c>
      <c r="D253" t="s">
        <v>1313</v>
      </c>
      <c r="E253" s="2">
        <v>50730.000000000007</v>
      </c>
      <c r="F253" s="2">
        <v>50730</v>
      </c>
      <c r="G253" s="2">
        <v>50730.000000000007</v>
      </c>
      <c r="H253" s="2">
        <v>50730</v>
      </c>
    </row>
    <row r="254" spans="1:8">
      <c r="A254" t="s">
        <v>959</v>
      </c>
      <c r="B254" t="s">
        <v>188</v>
      </c>
      <c r="C254" s="1" t="s">
        <v>187</v>
      </c>
      <c r="D254" t="s">
        <v>1314</v>
      </c>
      <c r="E254" s="2">
        <v>47611.25</v>
      </c>
      <c r="F254" s="2">
        <v>47611.25</v>
      </c>
      <c r="G254" s="2">
        <v>47611.25</v>
      </c>
      <c r="H254" s="2">
        <v>47611.25</v>
      </c>
    </row>
    <row r="255" spans="1:8">
      <c r="A255" t="s">
        <v>960</v>
      </c>
      <c r="B255" t="s">
        <v>1</v>
      </c>
      <c r="C255" s="1" t="s">
        <v>0</v>
      </c>
      <c r="D255" t="s">
        <v>1315</v>
      </c>
      <c r="E255" s="2">
        <v>2691984.38</v>
      </c>
      <c r="F255" s="2">
        <v>1258580.3799999999</v>
      </c>
      <c r="G255" s="2">
        <v>2729465.09</v>
      </c>
      <c r="H255" s="2">
        <v>1823941.38</v>
      </c>
    </row>
    <row r="256" spans="1:8">
      <c r="A256" t="s">
        <v>961</v>
      </c>
      <c r="B256" t="s">
        <v>620</v>
      </c>
      <c r="C256" s="1" t="s">
        <v>619</v>
      </c>
      <c r="D256" t="s">
        <v>1316</v>
      </c>
      <c r="E256" s="2">
        <v>9435</v>
      </c>
      <c r="F256" s="2">
        <v>9435</v>
      </c>
      <c r="G256" s="2">
        <v>9435</v>
      </c>
      <c r="H256" s="2">
        <v>9435</v>
      </c>
    </row>
    <row r="257" spans="1:8">
      <c r="A257" t="s">
        <v>962</v>
      </c>
      <c r="B257" t="s">
        <v>532</v>
      </c>
      <c r="C257" s="1" t="s">
        <v>534</v>
      </c>
      <c r="D257" t="s">
        <v>1317</v>
      </c>
      <c r="E257" s="2">
        <v>98973.88</v>
      </c>
      <c r="F257" s="2">
        <v>98973.88</v>
      </c>
      <c r="G257" s="2">
        <v>98973.88</v>
      </c>
      <c r="H257" s="2">
        <v>98973.88</v>
      </c>
    </row>
    <row r="258" spans="1:8">
      <c r="A258" t="s">
        <v>963</v>
      </c>
      <c r="B258" t="s">
        <v>532</v>
      </c>
      <c r="C258" s="1" t="s">
        <v>531</v>
      </c>
      <c r="D258" t="s">
        <v>1318</v>
      </c>
      <c r="E258" s="2">
        <v>189015.67</v>
      </c>
      <c r="F258" s="2">
        <v>20590</v>
      </c>
      <c r="G258" s="2">
        <v>189015.67</v>
      </c>
      <c r="H258" s="2">
        <v>20590</v>
      </c>
    </row>
    <row r="259" spans="1:8">
      <c r="A259" t="s">
        <v>964</v>
      </c>
      <c r="B259" t="s">
        <v>532</v>
      </c>
      <c r="C259" s="1" t="s">
        <v>533</v>
      </c>
      <c r="D259" t="s">
        <v>1319</v>
      </c>
      <c r="E259" s="2">
        <v>998300.69</v>
      </c>
      <c r="F259" s="2">
        <v>905323.45</v>
      </c>
      <c r="G259" s="2">
        <v>998300.69</v>
      </c>
      <c r="H259" s="2">
        <v>905323.45</v>
      </c>
    </row>
    <row r="260" spans="1:8">
      <c r="A260" t="s">
        <v>965</v>
      </c>
      <c r="B260" t="s">
        <v>532</v>
      </c>
      <c r="C260" s="1" t="s">
        <v>624</v>
      </c>
      <c r="D260" t="s">
        <v>1320</v>
      </c>
      <c r="E260" s="2">
        <v>68306.3</v>
      </c>
      <c r="F260" s="2">
        <v>10000</v>
      </c>
      <c r="G260" s="2">
        <v>68306.3</v>
      </c>
      <c r="H260" s="2">
        <v>10000</v>
      </c>
    </row>
    <row r="261" spans="1:8">
      <c r="A261" t="s">
        <v>966</v>
      </c>
      <c r="B261" t="s">
        <v>532</v>
      </c>
      <c r="C261" s="1" t="s">
        <v>633</v>
      </c>
      <c r="D261" t="s">
        <v>1320</v>
      </c>
      <c r="E261" s="2">
        <v>27829.82</v>
      </c>
      <c r="F261" s="2">
        <v>27829.82</v>
      </c>
      <c r="G261" s="2">
        <v>27829.82</v>
      </c>
      <c r="H261" s="2">
        <v>27829.82</v>
      </c>
    </row>
    <row r="262" spans="1:8">
      <c r="A262" t="s">
        <v>967</v>
      </c>
      <c r="B262" t="s">
        <v>532</v>
      </c>
      <c r="C262" s="1" t="s">
        <v>634</v>
      </c>
      <c r="D262" t="s">
        <v>1321</v>
      </c>
      <c r="E262" s="2">
        <v>171435.45</v>
      </c>
      <c r="F262" s="2">
        <v>17868.59</v>
      </c>
      <c r="G262" s="2">
        <v>171435.45</v>
      </c>
      <c r="H262" s="2">
        <v>17868.59</v>
      </c>
    </row>
    <row r="263" spans="1:8">
      <c r="A263" t="s">
        <v>968</v>
      </c>
      <c r="B263" t="s">
        <v>532</v>
      </c>
      <c r="C263" s="1" t="s">
        <v>635</v>
      </c>
      <c r="D263" t="s">
        <v>1322</v>
      </c>
      <c r="E263" s="2">
        <v>124484.10999999999</v>
      </c>
      <c r="F263" s="2">
        <v>120049.51</v>
      </c>
      <c r="G263" s="2">
        <v>124484.10999999999</v>
      </c>
      <c r="H263" s="2">
        <v>120049.51</v>
      </c>
    </row>
    <row r="264" spans="1:8">
      <c r="A264" t="s">
        <v>969</v>
      </c>
      <c r="B264" t="s">
        <v>303</v>
      </c>
      <c r="C264" s="1" t="s">
        <v>317</v>
      </c>
      <c r="D264" t="s">
        <v>1323</v>
      </c>
      <c r="E264" s="2">
        <v>108656.35</v>
      </c>
      <c r="F264" s="2">
        <v>108656.35</v>
      </c>
      <c r="G264" s="2">
        <v>108656.35</v>
      </c>
      <c r="H264" s="2">
        <v>108656.35</v>
      </c>
    </row>
    <row r="265" spans="1:8">
      <c r="A265" t="s">
        <v>970</v>
      </c>
      <c r="B265" t="s">
        <v>303</v>
      </c>
      <c r="C265" s="1" t="s">
        <v>538</v>
      </c>
      <c r="D265" t="s">
        <v>1324</v>
      </c>
      <c r="E265" s="2">
        <v>58372.37000000001</v>
      </c>
      <c r="F265" s="2">
        <v>58372.369999999995</v>
      </c>
      <c r="G265" s="2">
        <v>58372.37000000001</v>
      </c>
      <c r="H265" s="2">
        <v>58372.369999999995</v>
      </c>
    </row>
    <row r="266" spans="1:8">
      <c r="A266" t="s">
        <v>971</v>
      </c>
      <c r="B266" t="s">
        <v>303</v>
      </c>
      <c r="C266" s="1" t="s">
        <v>308</v>
      </c>
      <c r="D266" t="s">
        <v>1325</v>
      </c>
      <c r="E266" s="2">
        <v>750722.64999999991</v>
      </c>
      <c r="F266" s="2">
        <v>750722.64999999991</v>
      </c>
      <c r="G266" s="2">
        <v>750722.64999999991</v>
      </c>
      <c r="H266" s="2">
        <v>750722.64999999991</v>
      </c>
    </row>
    <row r="267" spans="1:8">
      <c r="A267" t="s">
        <v>972</v>
      </c>
      <c r="B267" t="s">
        <v>303</v>
      </c>
      <c r="C267" s="1" t="s">
        <v>309</v>
      </c>
      <c r="D267" t="s">
        <v>1326</v>
      </c>
      <c r="E267" s="2">
        <v>37077.370000000003</v>
      </c>
      <c r="F267" s="2">
        <v>37077.370000000003</v>
      </c>
      <c r="G267" s="2">
        <v>37077.370000000003</v>
      </c>
      <c r="H267" s="2">
        <v>37077.370000000003</v>
      </c>
    </row>
    <row r="268" spans="1:8">
      <c r="A268" t="s">
        <v>973</v>
      </c>
      <c r="B268" t="s">
        <v>303</v>
      </c>
      <c r="C268" s="1" t="s">
        <v>312</v>
      </c>
      <c r="D268" t="s">
        <v>1327</v>
      </c>
      <c r="E268" s="2">
        <v>140267.37000000005</v>
      </c>
      <c r="F268" s="2">
        <v>140267.37</v>
      </c>
      <c r="G268" s="2">
        <v>140267.37000000005</v>
      </c>
      <c r="H268" s="2">
        <v>140267.37</v>
      </c>
    </row>
    <row r="269" spans="1:8">
      <c r="A269" t="s">
        <v>974</v>
      </c>
      <c r="B269" t="s">
        <v>303</v>
      </c>
      <c r="C269" s="1" t="s">
        <v>302</v>
      </c>
      <c r="D269" t="s">
        <v>1328</v>
      </c>
      <c r="E269" s="2">
        <v>686760.3899999999</v>
      </c>
      <c r="F269" s="2">
        <v>686760.3899999999</v>
      </c>
      <c r="G269" s="2">
        <v>686760.3899999999</v>
      </c>
      <c r="H269" s="2">
        <v>686760.3899999999</v>
      </c>
    </row>
    <row r="270" spans="1:8">
      <c r="A270" t="s">
        <v>975</v>
      </c>
      <c r="B270" t="s">
        <v>303</v>
      </c>
      <c r="C270" s="1" t="s">
        <v>609</v>
      </c>
      <c r="D270" t="s">
        <v>1329</v>
      </c>
      <c r="E270" s="2">
        <v>9435</v>
      </c>
      <c r="F270" s="2">
        <v>9435</v>
      </c>
      <c r="G270" s="2">
        <v>9435</v>
      </c>
      <c r="H270" s="2">
        <v>9435</v>
      </c>
    </row>
    <row r="271" spans="1:8">
      <c r="A271" t="s">
        <v>976</v>
      </c>
      <c r="B271" t="s">
        <v>9</v>
      </c>
      <c r="C271" s="1" t="s">
        <v>213</v>
      </c>
      <c r="D271" t="s">
        <v>1330</v>
      </c>
      <c r="E271" s="2">
        <v>268791.1700000001</v>
      </c>
      <c r="F271" s="2">
        <v>268791.17000000004</v>
      </c>
      <c r="G271" s="2">
        <v>268791.1700000001</v>
      </c>
      <c r="H271" s="2">
        <v>268791.17000000004</v>
      </c>
    </row>
    <row r="272" spans="1:8">
      <c r="A272" t="s">
        <v>977</v>
      </c>
      <c r="B272" t="s">
        <v>9</v>
      </c>
      <c r="C272" s="1" t="s">
        <v>215</v>
      </c>
      <c r="D272" t="s">
        <v>1330</v>
      </c>
      <c r="E272" s="2">
        <v>132120.1</v>
      </c>
      <c r="F272" s="2">
        <v>132120.1</v>
      </c>
      <c r="G272" s="2">
        <v>132120.1</v>
      </c>
      <c r="H272" s="2">
        <v>132120.1</v>
      </c>
    </row>
    <row r="273" spans="1:8">
      <c r="A273" t="s">
        <v>978</v>
      </c>
      <c r="B273" t="s">
        <v>9</v>
      </c>
      <c r="C273" s="1" t="s">
        <v>8</v>
      </c>
      <c r="D273" t="s">
        <v>1330</v>
      </c>
      <c r="E273" s="2">
        <v>859589.01000000013</v>
      </c>
      <c r="F273" s="2">
        <v>859589.00999999989</v>
      </c>
      <c r="G273" s="2">
        <v>859589.01000000013</v>
      </c>
      <c r="H273" s="2">
        <v>859589.00999999989</v>
      </c>
    </row>
    <row r="274" spans="1:8">
      <c r="A274" t="s">
        <v>979</v>
      </c>
      <c r="B274" t="s">
        <v>9</v>
      </c>
      <c r="C274" s="1" t="s">
        <v>214</v>
      </c>
      <c r="D274" t="s">
        <v>1330</v>
      </c>
      <c r="E274" s="2">
        <v>57404.33</v>
      </c>
      <c r="F274" s="2">
        <v>57404.33</v>
      </c>
      <c r="G274" s="2">
        <v>57404.33</v>
      </c>
      <c r="H274" s="2">
        <v>57404.33</v>
      </c>
    </row>
    <row r="275" spans="1:8">
      <c r="A275" t="s">
        <v>980</v>
      </c>
      <c r="B275" t="s">
        <v>9</v>
      </c>
      <c r="C275" s="1" t="s">
        <v>212</v>
      </c>
      <c r="D275" t="s">
        <v>1330</v>
      </c>
      <c r="E275" s="2">
        <v>104529.86</v>
      </c>
      <c r="F275" s="2">
        <v>104529.86</v>
      </c>
      <c r="G275" s="2">
        <v>104529.86</v>
      </c>
      <c r="H275" s="2">
        <v>104529.86</v>
      </c>
    </row>
    <row r="276" spans="1:8">
      <c r="A276" t="s">
        <v>981</v>
      </c>
      <c r="B276" t="s">
        <v>9</v>
      </c>
      <c r="C276" s="1" t="s">
        <v>442</v>
      </c>
      <c r="D276" t="s">
        <v>1331</v>
      </c>
      <c r="E276" s="2">
        <v>12970</v>
      </c>
      <c r="F276" s="2">
        <v>12970</v>
      </c>
      <c r="G276" s="2">
        <v>12970</v>
      </c>
      <c r="H276" s="2">
        <v>12970</v>
      </c>
    </row>
    <row r="277" spans="1:8">
      <c r="A277" t="s">
        <v>982</v>
      </c>
      <c r="B277" t="s">
        <v>673</v>
      </c>
      <c r="C277" s="1" t="s">
        <v>672</v>
      </c>
      <c r="D277" t="s">
        <v>1332</v>
      </c>
      <c r="E277" s="2">
        <v>94000</v>
      </c>
      <c r="F277" s="2">
        <v>94000</v>
      </c>
      <c r="G277" s="2">
        <v>94000</v>
      </c>
      <c r="H277" s="2">
        <v>94000</v>
      </c>
    </row>
    <row r="278" spans="1:8">
      <c r="A278" t="s">
        <v>983</v>
      </c>
      <c r="B278" t="s">
        <v>341</v>
      </c>
      <c r="C278" s="1" t="s">
        <v>340</v>
      </c>
      <c r="D278" t="s">
        <v>1333</v>
      </c>
      <c r="E278" s="2">
        <v>186240</v>
      </c>
      <c r="F278" s="2">
        <v>116240</v>
      </c>
      <c r="G278" s="2">
        <v>186240</v>
      </c>
      <c r="H278" s="2">
        <v>116240</v>
      </c>
    </row>
    <row r="279" spans="1:8">
      <c r="A279" t="s">
        <v>984</v>
      </c>
      <c r="B279" t="s">
        <v>368</v>
      </c>
      <c r="C279" s="1" t="s">
        <v>465</v>
      </c>
      <c r="D279" t="s">
        <v>1334</v>
      </c>
      <c r="E279" s="2">
        <v>404692</v>
      </c>
      <c r="F279" s="2">
        <v>0</v>
      </c>
      <c r="G279" s="2">
        <v>404692</v>
      </c>
      <c r="H279" s="2">
        <v>0</v>
      </c>
    </row>
    <row r="280" spans="1:8">
      <c r="A280" t="s">
        <v>985</v>
      </c>
      <c r="B280" t="s">
        <v>368</v>
      </c>
      <c r="C280" s="1" t="s">
        <v>367</v>
      </c>
      <c r="D280" t="s">
        <v>1334</v>
      </c>
      <c r="E280" s="2">
        <v>26554</v>
      </c>
      <c r="F280" s="2">
        <v>0</v>
      </c>
      <c r="G280" s="2">
        <v>26554</v>
      </c>
      <c r="H280" s="2">
        <v>0</v>
      </c>
    </row>
    <row r="281" spans="1:8">
      <c r="A281" t="s">
        <v>986</v>
      </c>
      <c r="B281" t="s">
        <v>371</v>
      </c>
      <c r="C281" s="1" t="s">
        <v>370</v>
      </c>
      <c r="D281" t="s">
        <v>1335</v>
      </c>
      <c r="E281" s="2">
        <v>2235395.0699999998</v>
      </c>
      <c r="F281" s="2">
        <v>0</v>
      </c>
      <c r="G281" s="2">
        <v>2235395.0699999998</v>
      </c>
      <c r="H281" s="2">
        <v>0</v>
      </c>
    </row>
    <row r="282" spans="1:8">
      <c r="A282" t="s">
        <v>987</v>
      </c>
      <c r="B282" t="s">
        <v>288</v>
      </c>
      <c r="C282" s="1" t="s">
        <v>287</v>
      </c>
      <c r="D282" t="s">
        <v>1336</v>
      </c>
      <c r="E282" s="2">
        <v>1478757.6399999997</v>
      </c>
      <c r="F282" s="2">
        <v>1107608.1600000001</v>
      </c>
      <c r="G282" s="2">
        <v>1478757.6399999997</v>
      </c>
      <c r="H282" s="2">
        <v>1107608.1600000001</v>
      </c>
    </row>
    <row r="283" spans="1:8">
      <c r="A283" t="s">
        <v>988</v>
      </c>
      <c r="B283" t="s">
        <v>288</v>
      </c>
      <c r="C283" s="1" t="s">
        <v>458</v>
      </c>
      <c r="D283" t="s">
        <v>1336</v>
      </c>
      <c r="E283" s="2">
        <v>72836.150000000009</v>
      </c>
      <c r="F283" s="2">
        <v>63985.15</v>
      </c>
      <c r="G283" s="2">
        <v>72836.150000000009</v>
      </c>
      <c r="H283" s="2">
        <v>63985.15</v>
      </c>
    </row>
    <row r="284" spans="1:8">
      <c r="A284" t="s">
        <v>989</v>
      </c>
      <c r="B284" t="s">
        <v>453</v>
      </c>
      <c r="C284" s="1" t="s">
        <v>452</v>
      </c>
      <c r="D284" t="s">
        <v>1337</v>
      </c>
      <c r="E284" s="2">
        <v>110739.69</v>
      </c>
      <c r="F284" s="2">
        <v>99394.69</v>
      </c>
      <c r="G284" s="2">
        <v>110739.69</v>
      </c>
      <c r="H284" s="2">
        <v>99394.69</v>
      </c>
    </row>
    <row r="285" spans="1:8">
      <c r="A285" t="s">
        <v>990</v>
      </c>
      <c r="B285" t="s">
        <v>439</v>
      </c>
      <c r="C285" s="1" t="s">
        <v>438</v>
      </c>
      <c r="D285" t="s">
        <v>1338</v>
      </c>
      <c r="E285" s="2">
        <v>129750.08000000002</v>
      </c>
      <c r="F285" s="2">
        <v>119035.08</v>
      </c>
      <c r="G285" s="2">
        <v>129750.08000000002</v>
      </c>
      <c r="H285" s="2">
        <v>119035.08</v>
      </c>
    </row>
    <row r="286" spans="1:8">
      <c r="A286" t="s">
        <v>991</v>
      </c>
      <c r="B286" t="s">
        <v>233</v>
      </c>
      <c r="C286" s="1" t="s">
        <v>232</v>
      </c>
      <c r="D286" t="s">
        <v>1339</v>
      </c>
      <c r="E286" s="2">
        <v>21074</v>
      </c>
      <c r="F286" s="2">
        <v>21074</v>
      </c>
      <c r="G286" s="2">
        <v>21074</v>
      </c>
      <c r="H286" s="2">
        <v>21074</v>
      </c>
    </row>
    <row r="287" spans="1:8">
      <c r="A287" t="s">
        <v>992</v>
      </c>
      <c r="B287" t="s">
        <v>233</v>
      </c>
      <c r="C287" s="1" t="s">
        <v>236</v>
      </c>
      <c r="D287" t="s">
        <v>1339</v>
      </c>
      <c r="E287" s="2">
        <v>58552</v>
      </c>
      <c r="F287" s="2">
        <v>58552</v>
      </c>
      <c r="G287" s="2">
        <v>58552</v>
      </c>
      <c r="H287" s="2">
        <v>58552</v>
      </c>
    </row>
    <row r="288" spans="1:8">
      <c r="A288" t="s">
        <v>993</v>
      </c>
      <c r="B288" t="s">
        <v>233</v>
      </c>
      <c r="C288" s="1" t="s">
        <v>696</v>
      </c>
      <c r="D288" t="s">
        <v>1339</v>
      </c>
      <c r="E288" s="2">
        <v>9243</v>
      </c>
      <c r="F288" s="2">
        <v>9243</v>
      </c>
      <c r="G288" s="2">
        <v>9243</v>
      </c>
      <c r="H288" s="2">
        <v>9243</v>
      </c>
    </row>
    <row r="289" spans="1:8">
      <c r="A289" t="s">
        <v>994</v>
      </c>
      <c r="B289" t="s">
        <v>233</v>
      </c>
      <c r="C289" s="1" t="s">
        <v>235</v>
      </c>
      <c r="D289" t="s">
        <v>1339</v>
      </c>
      <c r="E289" s="2">
        <v>3650</v>
      </c>
      <c r="F289" s="2">
        <v>3650</v>
      </c>
      <c r="G289" s="2">
        <v>3650</v>
      </c>
      <c r="H289" s="2">
        <v>3650</v>
      </c>
    </row>
    <row r="290" spans="1:8">
      <c r="A290" t="s">
        <v>995</v>
      </c>
      <c r="B290" t="s">
        <v>37</v>
      </c>
      <c r="C290" s="1" t="s">
        <v>54</v>
      </c>
      <c r="D290" t="s">
        <v>1340</v>
      </c>
      <c r="E290" s="2">
        <v>899348.57000000007</v>
      </c>
      <c r="F290" s="2">
        <v>899348.57</v>
      </c>
      <c r="G290" s="2">
        <v>899348.57000000007</v>
      </c>
      <c r="H290" s="2">
        <v>899348.57</v>
      </c>
    </row>
    <row r="291" spans="1:8">
      <c r="A291" t="s">
        <v>996</v>
      </c>
      <c r="B291" t="s">
        <v>37</v>
      </c>
      <c r="C291" s="1" t="s">
        <v>36</v>
      </c>
      <c r="D291" t="s">
        <v>1341</v>
      </c>
      <c r="E291" s="2">
        <v>37436.120000000003</v>
      </c>
      <c r="F291" s="2">
        <v>37436.120000000003</v>
      </c>
      <c r="G291" s="2">
        <v>37436.120000000003</v>
      </c>
      <c r="H291" s="2">
        <v>37436.120000000003</v>
      </c>
    </row>
    <row r="292" spans="1:8">
      <c r="A292" t="s">
        <v>997</v>
      </c>
      <c r="B292" t="s">
        <v>62</v>
      </c>
      <c r="C292" s="1" t="s">
        <v>79</v>
      </c>
      <c r="D292" t="s">
        <v>1342</v>
      </c>
      <c r="E292" s="2">
        <v>2499648.58</v>
      </c>
      <c r="F292" s="2">
        <v>2418174.3200000003</v>
      </c>
      <c r="G292" s="2">
        <v>2506581.58</v>
      </c>
      <c r="H292" s="2">
        <v>2418574.3200000003</v>
      </c>
    </row>
    <row r="293" spans="1:8">
      <c r="A293" t="s">
        <v>998</v>
      </c>
      <c r="B293" t="s">
        <v>62</v>
      </c>
      <c r="C293" s="1" t="s">
        <v>61</v>
      </c>
      <c r="D293" t="s">
        <v>1342</v>
      </c>
      <c r="E293" s="2">
        <v>44837.38</v>
      </c>
      <c r="F293" s="2">
        <v>44837.38</v>
      </c>
      <c r="G293" s="2">
        <v>44837.38</v>
      </c>
      <c r="H293" s="2">
        <v>44837.38</v>
      </c>
    </row>
    <row r="294" spans="1:8">
      <c r="A294" t="s">
        <v>999</v>
      </c>
      <c r="B294" t="s">
        <v>62</v>
      </c>
      <c r="C294" s="1" t="s">
        <v>651</v>
      </c>
      <c r="D294" t="s">
        <v>1425</v>
      </c>
      <c r="E294" s="2">
        <v>102080.88</v>
      </c>
      <c r="F294" s="2">
        <v>0</v>
      </c>
      <c r="G294" s="2">
        <v>102080.88</v>
      </c>
      <c r="H294" s="2">
        <v>0</v>
      </c>
    </row>
    <row r="295" spans="1:8">
      <c r="A295" t="s">
        <v>1000</v>
      </c>
      <c r="B295" t="s">
        <v>19</v>
      </c>
      <c r="C295" s="1" t="s">
        <v>18</v>
      </c>
      <c r="D295" t="s">
        <v>1343</v>
      </c>
      <c r="E295" s="2">
        <v>35269.170000000006</v>
      </c>
      <c r="F295" s="2">
        <v>35269.17</v>
      </c>
      <c r="G295" s="2">
        <v>35269.170000000006</v>
      </c>
      <c r="H295" s="2">
        <v>35269.17</v>
      </c>
    </row>
    <row r="296" spans="1:8">
      <c r="A296" t="s">
        <v>1001</v>
      </c>
      <c r="B296" t="s">
        <v>711</v>
      </c>
      <c r="C296" s="1" t="s">
        <v>710</v>
      </c>
      <c r="D296" t="s">
        <v>1344</v>
      </c>
      <c r="E296" s="2">
        <v>20.49</v>
      </c>
      <c r="F296" s="2">
        <v>20.49</v>
      </c>
      <c r="G296" s="2">
        <v>20.49</v>
      </c>
      <c r="H296" s="2">
        <v>20.49</v>
      </c>
    </row>
    <row r="297" spans="1:8">
      <c r="A297" t="s">
        <v>1002</v>
      </c>
      <c r="B297" t="s">
        <v>51</v>
      </c>
      <c r="C297" s="1" t="s">
        <v>50</v>
      </c>
      <c r="D297" t="s">
        <v>1344</v>
      </c>
      <c r="E297" s="2">
        <v>3742800.2800000017</v>
      </c>
      <c r="F297" s="2">
        <v>3728029.2800000007</v>
      </c>
      <c r="G297" s="2">
        <v>3742800.2800000017</v>
      </c>
      <c r="H297" s="2">
        <v>3728029.2800000007</v>
      </c>
    </row>
    <row r="298" spans="1:8">
      <c r="A298" t="s">
        <v>1003</v>
      </c>
      <c r="B298" t="s">
        <v>51</v>
      </c>
      <c r="C298" s="1" t="s">
        <v>323</v>
      </c>
      <c r="D298" t="s">
        <v>1344</v>
      </c>
      <c r="E298" s="2">
        <v>2110154.5799999996</v>
      </c>
      <c r="F298" s="2">
        <v>2110154.58</v>
      </c>
      <c r="G298" s="2">
        <v>2110154.5799999996</v>
      </c>
      <c r="H298" s="2">
        <v>2110154.58</v>
      </c>
    </row>
    <row r="299" spans="1:8">
      <c r="A299" t="s">
        <v>1004</v>
      </c>
      <c r="B299" t="s">
        <v>43</v>
      </c>
      <c r="C299" s="1" t="s">
        <v>42</v>
      </c>
      <c r="D299" t="s">
        <v>1345</v>
      </c>
      <c r="E299" s="2">
        <v>651096.68999999971</v>
      </c>
      <c r="F299" s="2">
        <v>650718.76</v>
      </c>
      <c r="G299" s="2">
        <v>651096.68999999971</v>
      </c>
      <c r="H299" s="2">
        <v>650718.76</v>
      </c>
    </row>
    <row r="300" spans="1:8">
      <c r="A300" t="s">
        <v>1005</v>
      </c>
      <c r="B300" t="s">
        <v>43</v>
      </c>
      <c r="C300" s="1" t="s">
        <v>65</v>
      </c>
      <c r="D300" t="s">
        <v>1346</v>
      </c>
      <c r="E300" s="2">
        <v>27751.869999999995</v>
      </c>
      <c r="F300" s="2">
        <v>27751.870000000003</v>
      </c>
      <c r="G300" s="2">
        <v>27751.869999999995</v>
      </c>
      <c r="H300" s="2">
        <v>27751.870000000003</v>
      </c>
    </row>
    <row r="301" spans="1:8">
      <c r="A301" t="s">
        <v>1006</v>
      </c>
      <c r="B301" t="s">
        <v>53</v>
      </c>
      <c r="C301" s="1" t="s">
        <v>242</v>
      </c>
      <c r="D301" t="s">
        <v>1347</v>
      </c>
      <c r="E301" s="2">
        <v>349294</v>
      </c>
      <c r="F301" s="2">
        <v>118785.90000000001</v>
      </c>
      <c r="G301" s="2">
        <v>349294</v>
      </c>
      <c r="H301" s="2">
        <v>118785.90000000001</v>
      </c>
    </row>
    <row r="302" spans="1:8">
      <c r="A302" t="s">
        <v>1007</v>
      </c>
      <c r="B302" t="s">
        <v>53</v>
      </c>
      <c r="C302" s="1" t="s">
        <v>52</v>
      </c>
      <c r="D302" t="s">
        <v>1347</v>
      </c>
      <c r="E302" s="2">
        <v>33287.75</v>
      </c>
      <c r="F302" s="2">
        <v>33287.75</v>
      </c>
      <c r="G302" s="2">
        <v>33287.75</v>
      </c>
      <c r="H302" s="2">
        <v>33287.75</v>
      </c>
    </row>
    <row r="303" spans="1:8">
      <c r="A303" t="s">
        <v>1008</v>
      </c>
      <c r="B303" t="s">
        <v>31</v>
      </c>
      <c r="C303" s="1" t="s">
        <v>30</v>
      </c>
      <c r="D303" t="s">
        <v>1348</v>
      </c>
      <c r="E303" s="2">
        <v>37763.199999999997</v>
      </c>
      <c r="F303" s="2">
        <v>37763.199999999997</v>
      </c>
      <c r="G303" s="2">
        <v>37763.199999999997</v>
      </c>
      <c r="H303" s="2">
        <v>37763.199999999997</v>
      </c>
    </row>
    <row r="304" spans="1:8">
      <c r="A304" t="s">
        <v>1009</v>
      </c>
      <c r="B304" t="s">
        <v>117</v>
      </c>
      <c r="C304" s="1" t="s">
        <v>116</v>
      </c>
      <c r="D304" t="s">
        <v>1349</v>
      </c>
      <c r="E304" s="2">
        <v>50217.590000000004</v>
      </c>
      <c r="F304" s="2">
        <v>45749.08</v>
      </c>
      <c r="G304" s="2">
        <v>50217.590000000004</v>
      </c>
      <c r="H304" s="2">
        <v>45749.08</v>
      </c>
    </row>
    <row r="305" spans="1:8">
      <c r="A305" t="s">
        <v>1010</v>
      </c>
      <c r="B305" t="s">
        <v>3</v>
      </c>
      <c r="C305" s="1" t="s">
        <v>2</v>
      </c>
      <c r="D305" t="s">
        <v>1350</v>
      </c>
      <c r="E305" s="2">
        <v>35597</v>
      </c>
      <c r="F305" s="2">
        <v>35597</v>
      </c>
      <c r="G305" s="2">
        <v>35597</v>
      </c>
      <c r="H305" s="2">
        <v>35597</v>
      </c>
    </row>
    <row r="306" spans="1:8">
      <c r="A306" t="s">
        <v>1011</v>
      </c>
      <c r="B306" t="s">
        <v>3</v>
      </c>
      <c r="C306" s="1" t="s">
        <v>648</v>
      </c>
      <c r="D306" t="s">
        <v>1350</v>
      </c>
      <c r="E306" s="2">
        <v>28549</v>
      </c>
      <c r="F306" s="2">
        <v>28549</v>
      </c>
      <c r="G306" s="2">
        <v>28549</v>
      </c>
      <c r="H306" s="2">
        <v>28549</v>
      </c>
    </row>
    <row r="307" spans="1:8">
      <c r="A307" t="s">
        <v>1012</v>
      </c>
      <c r="B307" t="s">
        <v>85</v>
      </c>
      <c r="C307" s="1" t="s">
        <v>84</v>
      </c>
      <c r="D307" t="s">
        <v>1351</v>
      </c>
      <c r="E307" s="2">
        <v>1139993.3900000001</v>
      </c>
      <c r="F307" s="2">
        <v>1029505.82</v>
      </c>
      <c r="G307" s="2">
        <v>1139993.3900000001</v>
      </c>
      <c r="H307" s="2">
        <v>1032919.2899999999</v>
      </c>
    </row>
    <row r="308" spans="1:8">
      <c r="A308" t="s">
        <v>1013</v>
      </c>
      <c r="B308" t="s">
        <v>85</v>
      </c>
      <c r="C308" s="1" t="s">
        <v>138</v>
      </c>
      <c r="D308" t="s">
        <v>1351</v>
      </c>
      <c r="E308" s="2">
        <v>979859.4</v>
      </c>
      <c r="F308" s="2">
        <v>962009.30000000016</v>
      </c>
      <c r="G308" s="2">
        <v>979859.4</v>
      </c>
      <c r="H308" s="2">
        <v>979842.28000000014</v>
      </c>
    </row>
    <row r="309" spans="1:8">
      <c r="A309" t="s">
        <v>1014</v>
      </c>
      <c r="B309" t="s">
        <v>85</v>
      </c>
      <c r="C309" s="1" t="s">
        <v>94</v>
      </c>
      <c r="D309" t="s">
        <v>1351</v>
      </c>
      <c r="E309" s="2">
        <v>155111.31</v>
      </c>
      <c r="F309" s="2">
        <v>140538.17000000001</v>
      </c>
      <c r="G309" s="2">
        <v>155111.31</v>
      </c>
      <c r="H309" s="2">
        <v>140538.17000000001</v>
      </c>
    </row>
    <row r="310" spans="1:8">
      <c r="A310" t="s">
        <v>1015</v>
      </c>
      <c r="B310" t="s">
        <v>85</v>
      </c>
      <c r="C310" s="1" t="s">
        <v>103</v>
      </c>
      <c r="D310" t="s">
        <v>1351</v>
      </c>
      <c r="E310" s="2">
        <v>789472.88000000012</v>
      </c>
      <c r="F310" s="2">
        <v>497786.95000000007</v>
      </c>
      <c r="G310" s="2">
        <v>789472.88000000012</v>
      </c>
      <c r="H310" s="2">
        <v>501548.35000000009</v>
      </c>
    </row>
    <row r="311" spans="1:8">
      <c r="A311" t="s">
        <v>1016</v>
      </c>
      <c r="B311" t="s">
        <v>462</v>
      </c>
      <c r="C311" s="1" t="s">
        <v>669</v>
      </c>
      <c r="D311" t="s">
        <v>1352</v>
      </c>
      <c r="E311" s="2">
        <v>312487.19999999995</v>
      </c>
      <c r="F311" s="2">
        <v>312487.2</v>
      </c>
      <c r="G311" s="2">
        <v>312487.19999999995</v>
      </c>
      <c r="H311" s="2">
        <v>312487.2</v>
      </c>
    </row>
    <row r="312" spans="1:8">
      <c r="A312" t="s">
        <v>1017</v>
      </c>
      <c r="B312" t="s">
        <v>462</v>
      </c>
      <c r="C312" s="1" t="s">
        <v>461</v>
      </c>
      <c r="D312" t="s">
        <v>1353</v>
      </c>
      <c r="E312" s="2">
        <v>2634489.62</v>
      </c>
      <c r="F312" s="2">
        <v>1678865.91</v>
      </c>
      <c r="G312" s="2">
        <v>2634489.62</v>
      </c>
      <c r="H312" s="2">
        <v>1678865.91</v>
      </c>
    </row>
    <row r="313" spans="1:8">
      <c r="A313" t="s">
        <v>1018</v>
      </c>
      <c r="B313" t="s">
        <v>462</v>
      </c>
      <c r="C313" s="1" t="s">
        <v>497</v>
      </c>
      <c r="D313" t="s">
        <v>1352</v>
      </c>
      <c r="E313" s="2">
        <v>36993.15</v>
      </c>
      <c r="F313" s="2">
        <v>36993.15</v>
      </c>
      <c r="G313" s="2">
        <v>36993.15</v>
      </c>
      <c r="H313" s="2">
        <v>36993.15</v>
      </c>
    </row>
    <row r="314" spans="1:8">
      <c r="A314" t="s">
        <v>1019</v>
      </c>
      <c r="B314" t="s">
        <v>113</v>
      </c>
      <c r="C314" s="1" t="s">
        <v>112</v>
      </c>
      <c r="D314" t="s">
        <v>1354</v>
      </c>
      <c r="E314" s="2">
        <v>155949.57</v>
      </c>
      <c r="F314" s="2">
        <v>155949.57</v>
      </c>
      <c r="G314" s="2">
        <v>155949.57</v>
      </c>
      <c r="H314" s="2">
        <v>155949.57</v>
      </c>
    </row>
    <row r="315" spans="1:8">
      <c r="A315" t="s">
        <v>1020</v>
      </c>
      <c r="B315" t="s">
        <v>509</v>
      </c>
      <c r="C315" s="1" t="s">
        <v>508</v>
      </c>
      <c r="D315" t="s">
        <v>1355</v>
      </c>
      <c r="E315" s="2">
        <v>51981</v>
      </c>
      <c r="F315" s="2">
        <v>51981</v>
      </c>
      <c r="G315" s="2">
        <v>51981</v>
      </c>
      <c r="H315" s="2">
        <v>51981</v>
      </c>
    </row>
    <row r="316" spans="1:8">
      <c r="A316" t="s">
        <v>1021</v>
      </c>
      <c r="B316" t="s">
        <v>267</v>
      </c>
      <c r="C316" s="1" t="s">
        <v>266</v>
      </c>
      <c r="D316" t="s">
        <v>1356</v>
      </c>
      <c r="E316" s="2">
        <v>1483092.13</v>
      </c>
      <c r="F316" s="2">
        <v>1407104.5600000003</v>
      </c>
      <c r="G316" s="2">
        <v>1483092.13</v>
      </c>
      <c r="H316" s="2">
        <v>1407104.5600000003</v>
      </c>
    </row>
    <row r="317" spans="1:8">
      <c r="A317" t="s">
        <v>1022</v>
      </c>
      <c r="B317" t="s">
        <v>267</v>
      </c>
      <c r="C317" s="1" t="s">
        <v>270</v>
      </c>
      <c r="D317" t="s">
        <v>1356</v>
      </c>
      <c r="E317" s="2">
        <v>378209</v>
      </c>
      <c r="F317" s="2">
        <v>341814.11</v>
      </c>
      <c r="G317" s="2">
        <v>378209</v>
      </c>
      <c r="H317" s="2">
        <v>341814.11</v>
      </c>
    </row>
    <row r="318" spans="1:8">
      <c r="A318" t="s">
        <v>1023</v>
      </c>
      <c r="B318" t="s">
        <v>29</v>
      </c>
      <c r="C318" s="1" t="s">
        <v>70</v>
      </c>
      <c r="D318" t="s">
        <v>1357</v>
      </c>
      <c r="E318" s="2">
        <v>11004.1</v>
      </c>
      <c r="F318" s="2">
        <v>11004.1</v>
      </c>
      <c r="G318" s="2">
        <v>11004.1</v>
      </c>
      <c r="H318" s="2">
        <v>11004.1</v>
      </c>
    </row>
    <row r="319" spans="1:8">
      <c r="A319" t="s">
        <v>1024</v>
      </c>
      <c r="B319" t="s">
        <v>29</v>
      </c>
      <c r="C319" s="1" t="s">
        <v>28</v>
      </c>
      <c r="D319" t="s">
        <v>1357</v>
      </c>
      <c r="E319" s="2">
        <v>276539.25</v>
      </c>
      <c r="F319" s="2">
        <v>276539.25</v>
      </c>
      <c r="G319" s="2">
        <v>276539.25</v>
      </c>
      <c r="H319" s="2">
        <v>276539.25</v>
      </c>
    </row>
    <row r="320" spans="1:8">
      <c r="A320" t="s">
        <v>1025</v>
      </c>
      <c r="B320" t="s">
        <v>265</v>
      </c>
      <c r="C320" s="1" t="s">
        <v>264</v>
      </c>
      <c r="D320" t="s">
        <v>1358</v>
      </c>
      <c r="E320" s="2">
        <v>67618</v>
      </c>
      <c r="F320" s="2">
        <v>38803.699999999997</v>
      </c>
      <c r="G320" s="2">
        <v>67618</v>
      </c>
      <c r="H320" s="2">
        <v>38803.699999999997</v>
      </c>
    </row>
    <row r="321" spans="1:8">
      <c r="A321" t="s">
        <v>1026</v>
      </c>
      <c r="B321" t="s">
        <v>265</v>
      </c>
      <c r="C321" s="1" t="s">
        <v>268</v>
      </c>
      <c r="D321" t="s">
        <v>1358</v>
      </c>
      <c r="E321" s="2">
        <v>7744</v>
      </c>
      <c r="F321" s="2">
        <v>7744</v>
      </c>
      <c r="G321" s="2">
        <v>7744</v>
      </c>
      <c r="H321" s="2">
        <v>7744</v>
      </c>
    </row>
    <row r="322" spans="1:8">
      <c r="A322" t="s">
        <v>1027</v>
      </c>
      <c r="B322" t="s">
        <v>427</v>
      </c>
      <c r="C322" s="1" t="s">
        <v>668</v>
      </c>
      <c r="D322" t="s">
        <v>1352</v>
      </c>
      <c r="E322" s="2">
        <v>212199.28000000003</v>
      </c>
      <c r="F322" s="2">
        <v>212199.27999999997</v>
      </c>
      <c r="G322" s="2">
        <v>212199.28000000003</v>
      </c>
      <c r="H322" s="2">
        <v>212199.27999999997</v>
      </c>
    </row>
    <row r="323" spans="1:8">
      <c r="A323" t="s">
        <v>1028</v>
      </c>
      <c r="B323" t="s">
        <v>427</v>
      </c>
      <c r="C323" s="1" t="s">
        <v>426</v>
      </c>
      <c r="D323" t="s">
        <v>1352</v>
      </c>
      <c r="E323" s="2">
        <v>36993.15</v>
      </c>
      <c r="F323" s="2">
        <v>36993.15</v>
      </c>
      <c r="G323" s="2">
        <v>36993.15</v>
      </c>
      <c r="H323" s="2">
        <v>36993.15</v>
      </c>
    </row>
    <row r="324" spans="1:8">
      <c r="A324" t="s">
        <v>1029</v>
      </c>
      <c r="B324" t="s">
        <v>115</v>
      </c>
      <c r="C324" s="1" t="s">
        <v>114</v>
      </c>
      <c r="D324" t="s">
        <v>1359</v>
      </c>
      <c r="E324" s="2">
        <v>50715.909999999996</v>
      </c>
      <c r="F324" s="2">
        <v>46247.4</v>
      </c>
      <c r="G324" s="2">
        <v>50715.909999999996</v>
      </c>
      <c r="H324" s="2">
        <v>46247.4</v>
      </c>
    </row>
    <row r="325" spans="1:8">
      <c r="A325" t="s">
        <v>1030</v>
      </c>
      <c r="B325" t="s">
        <v>464</v>
      </c>
      <c r="C325" s="1" t="s">
        <v>463</v>
      </c>
      <c r="D325" t="s">
        <v>1360</v>
      </c>
      <c r="E325" s="2">
        <v>87130.240000000005</v>
      </c>
      <c r="F325" s="2">
        <v>70526.66</v>
      </c>
      <c r="G325" s="2">
        <v>87130.240000000005</v>
      </c>
      <c r="H325" s="2">
        <v>70526.66</v>
      </c>
    </row>
    <row r="326" spans="1:8">
      <c r="A326" t="s">
        <v>1031</v>
      </c>
      <c r="B326" t="s">
        <v>537</v>
      </c>
      <c r="C326" s="1" t="s">
        <v>536</v>
      </c>
      <c r="D326" t="s">
        <v>1360</v>
      </c>
      <c r="E326" s="2">
        <v>47500</v>
      </c>
      <c r="F326" s="2">
        <v>47500</v>
      </c>
      <c r="G326" s="2">
        <v>47500</v>
      </c>
      <c r="H326" s="2">
        <v>47500</v>
      </c>
    </row>
    <row r="327" spans="1:8">
      <c r="A327" t="s">
        <v>1032</v>
      </c>
      <c r="B327" t="s">
        <v>269</v>
      </c>
      <c r="C327" s="1" t="s">
        <v>516</v>
      </c>
      <c r="D327" t="s">
        <v>1360</v>
      </c>
      <c r="E327" s="2">
        <v>2467500.0000000019</v>
      </c>
      <c r="F327" s="2">
        <v>2200979.5500000003</v>
      </c>
      <c r="G327" s="2">
        <v>2467500.0000000019</v>
      </c>
      <c r="H327" s="2">
        <v>2200979.5500000003</v>
      </c>
    </row>
    <row r="328" spans="1:8">
      <c r="A328" t="s">
        <v>1033</v>
      </c>
      <c r="B328" t="s">
        <v>415</v>
      </c>
      <c r="C328" s="1" t="s">
        <v>549</v>
      </c>
      <c r="D328" t="s">
        <v>1361</v>
      </c>
      <c r="E328" s="2">
        <v>179346.97999999998</v>
      </c>
      <c r="F328" s="2">
        <v>5247.54</v>
      </c>
      <c r="G328" s="2">
        <v>179346.97999999998</v>
      </c>
      <c r="H328" s="2">
        <v>5247.54</v>
      </c>
    </row>
    <row r="329" spans="1:8">
      <c r="A329" t="s">
        <v>1034</v>
      </c>
      <c r="B329" t="s">
        <v>415</v>
      </c>
      <c r="C329" s="1" t="s">
        <v>414</v>
      </c>
      <c r="D329" t="s">
        <v>1361</v>
      </c>
      <c r="E329" s="2">
        <v>86908.35000000002</v>
      </c>
      <c r="F329" s="2">
        <v>76959</v>
      </c>
      <c r="G329" s="2">
        <v>86908.35000000002</v>
      </c>
      <c r="H329" s="2">
        <v>76959</v>
      </c>
    </row>
    <row r="330" spans="1:8">
      <c r="A330" t="s">
        <v>1035</v>
      </c>
      <c r="B330" t="s">
        <v>129</v>
      </c>
      <c r="C330" s="1" t="s">
        <v>128</v>
      </c>
      <c r="D330" t="s">
        <v>1362</v>
      </c>
      <c r="E330" s="2">
        <v>2036731.1600000001</v>
      </c>
      <c r="F330" s="2">
        <v>2006483.0799999998</v>
      </c>
      <c r="G330" s="2">
        <v>2036731.1600000001</v>
      </c>
      <c r="H330" s="2">
        <v>2006483.0799999998</v>
      </c>
    </row>
    <row r="331" spans="1:8">
      <c r="A331" t="s">
        <v>1036</v>
      </c>
      <c r="B331" t="s">
        <v>129</v>
      </c>
      <c r="C331" s="1" t="s">
        <v>470</v>
      </c>
      <c r="D331" t="s">
        <v>1362</v>
      </c>
      <c r="E331" s="2">
        <v>57086.61</v>
      </c>
      <c r="F331" s="2">
        <v>35761</v>
      </c>
      <c r="G331" s="2">
        <v>57086.61</v>
      </c>
      <c r="H331" s="2">
        <v>39028.61</v>
      </c>
    </row>
    <row r="332" spans="1:8">
      <c r="A332" t="s">
        <v>1037</v>
      </c>
      <c r="B332" t="s">
        <v>280</v>
      </c>
      <c r="C332" s="1" t="s">
        <v>279</v>
      </c>
      <c r="D332" t="s">
        <v>1363</v>
      </c>
      <c r="E332" s="2">
        <v>69086.610000000015</v>
      </c>
      <c r="F332" s="2">
        <v>60202.05</v>
      </c>
      <c r="G332" s="2">
        <v>69086.610000000015</v>
      </c>
      <c r="H332" s="2">
        <v>63469.66</v>
      </c>
    </row>
    <row r="333" spans="1:8">
      <c r="A333" t="s">
        <v>1038</v>
      </c>
      <c r="B333" t="s">
        <v>433</v>
      </c>
      <c r="C333" s="1" t="s">
        <v>432</v>
      </c>
      <c r="D333" t="s">
        <v>1364</v>
      </c>
      <c r="E333" s="2">
        <v>691756.23999999976</v>
      </c>
      <c r="F333" s="2">
        <v>691756.24000000011</v>
      </c>
      <c r="G333" s="2">
        <v>691756.23999999976</v>
      </c>
      <c r="H333" s="2">
        <v>691756.24000000011</v>
      </c>
    </row>
    <row r="334" spans="1:8">
      <c r="A334" t="s">
        <v>1039</v>
      </c>
      <c r="B334" t="s">
        <v>274</v>
      </c>
      <c r="C334" s="1" t="s">
        <v>273</v>
      </c>
      <c r="D334" t="s">
        <v>1365</v>
      </c>
      <c r="E334" s="2">
        <v>155715.64000000001</v>
      </c>
      <c r="F334" s="2">
        <v>26921.88</v>
      </c>
      <c r="G334" s="2">
        <v>155715.64000000001</v>
      </c>
      <c r="H334" s="2">
        <v>26921.88</v>
      </c>
    </row>
    <row r="335" spans="1:8">
      <c r="A335" t="s">
        <v>1040</v>
      </c>
      <c r="B335" t="s">
        <v>572</v>
      </c>
      <c r="C335" s="1" t="s">
        <v>571</v>
      </c>
      <c r="D335" t="s">
        <v>1366</v>
      </c>
      <c r="E335" s="2">
        <v>52577.000000000007</v>
      </c>
      <c r="F335" s="2">
        <v>17655.75</v>
      </c>
      <c r="G335" s="2">
        <v>57818.580000000009</v>
      </c>
      <c r="H335" s="2">
        <v>17655.75</v>
      </c>
    </row>
    <row r="336" spans="1:8">
      <c r="A336" t="s">
        <v>1041</v>
      </c>
      <c r="B336" t="s">
        <v>577</v>
      </c>
      <c r="C336" s="1" t="s">
        <v>576</v>
      </c>
      <c r="D336" t="s">
        <v>1367</v>
      </c>
      <c r="E336" s="2">
        <v>52577</v>
      </c>
      <c r="F336" s="2">
        <v>11626.67</v>
      </c>
      <c r="G336" s="2">
        <v>52577</v>
      </c>
      <c r="H336" s="2">
        <v>11626.67</v>
      </c>
    </row>
    <row r="337" spans="1:8">
      <c r="A337" t="s">
        <v>1042</v>
      </c>
      <c r="B337" t="s">
        <v>606</v>
      </c>
      <c r="C337" s="1" t="s">
        <v>605</v>
      </c>
      <c r="D337" t="s">
        <v>1368</v>
      </c>
      <c r="E337" s="2">
        <v>49471</v>
      </c>
      <c r="F337" s="2">
        <v>17825.150000000001</v>
      </c>
      <c r="G337" s="2">
        <v>49471</v>
      </c>
      <c r="H337" s="2">
        <v>17825.150000000001</v>
      </c>
    </row>
    <row r="338" spans="1:8">
      <c r="A338" t="s">
        <v>1043</v>
      </c>
      <c r="B338" t="s">
        <v>665</v>
      </c>
      <c r="C338" s="1" t="s">
        <v>664</v>
      </c>
      <c r="D338" t="s">
        <v>1369</v>
      </c>
      <c r="E338" s="2">
        <v>43930.329999999994</v>
      </c>
      <c r="F338" s="2">
        <v>43930.33</v>
      </c>
      <c r="G338" s="2">
        <v>43930.329999999994</v>
      </c>
      <c r="H338" s="2">
        <v>43930.33</v>
      </c>
    </row>
    <row r="339" spans="1:8">
      <c r="A339" t="s">
        <v>1044</v>
      </c>
      <c r="B339" t="s">
        <v>665</v>
      </c>
      <c r="C339" s="1" t="s">
        <v>680</v>
      </c>
      <c r="D339" t="s">
        <v>1370</v>
      </c>
      <c r="E339" s="2">
        <v>383917</v>
      </c>
      <c r="F339" s="2">
        <v>383917</v>
      </c>
      <c r="G339" s="2">
        <v>383917</v>
      </c>
      <c r="H339" s="2">
        <v>383917</v>
      </c>
    </row>
    <row r="340" spans="1:8">
      <c r="A340" t="s">
        <v>1045</v>
      </c>
      <c r="B340" t="s">
        <v>208</v>
      </c>
      <c r="C340" s="1" t="s">
        <v>207</v>
      </c>
      <c r="D340" t="s">
        <v>1371</v>
      </c>
      <c r="E340" s="2">
        <v>1584129.25</v>
      </c>
      <c r="F340" s="2">
        <v>1227598.9099999999</v>
      </c>
      <c r="G340" s="2">
        <v>1484129.25</v>
      </c>
      <c r="H340" s="2">
        <v>1254283.5999999999</v>
      </c>
    </row>
    <row r="341" spans="1:8">
      <c r="A341" t="s">
        <v>1046</v>
      </c>
      <c r="B341" t="s">
        <v>208</v>
      </c>
      <c r="C341" s="1" t="s">
        <v>487</v>
      </c>
      <c r="D341" t="s">
        <v>1371</v>
      </c>
      <c r="E341" s="2">
        <v>234441</v>
      </c>
      <c r="F341" s="2">
        <v>223891</v>
      </c>
      <c r="G341" s="2">
        <v>234441</v>
      </c>
      <c r="H341" s="2">
        <v>223891</v>
      </c>
    </row>
    <row r="342" spans="1:8">
      <c r="A342" t="s">
        <v>1047</v>
      </c>
      <c r="B342" t="s">
        <v>208</v>
      </c>
      <c r="C342" s="1" t="s">
        <v>512</v>
      </c>
      <c r="D342" t="s">
        <v>1371</v>
      </c>
      <c r="E342" s="2">
        <v>83458</v>
      </c>
      <c r="F342" s="2">
        <v>83458.000000000015</v>
      </c>
      <c r="G342" s="2">
        <v>83458</v>
      </c>
      <c r="H342" s="2">
        <v>83458.000000000015</v>
      </c>
    </row>
    <row r="343" spans="1:8">
      <c r="A343" t="s">
        <v>1048</v>
      </c>
      <c r="B343" t="s">
        <v>208</v>
      </c>
      <c r="C343" s="1" t="s">
        <v>693</v>
      </c>
      <c r="D343" t="s">
        <v>1371</v>
      </c>
      <c r="E343" s="2">
        <v>8600</v>
      </c>
      <c r="F343" s="2">
        <v>8600</v>
      </c>
      <c r="G343" s="2">
        <v>8600</v>
      </c>
      <c r="H343" s="2">
        <v>8600</v>
      </c>
    </row>
    <row r="344" spans="1:8">
      <c r="A344" t="s">
        <v>1049</v>
      </c>
      <c r="B344" t="s">
        <v>208</v>
      </c>
      <c r="C344" s="1" t="s">
        <v>616</v>
      </c>
      <c r="D344" t="s">
        <v>1371</v>
      </c>
      <c r="E344" s="2">
        <v>31343</v>
      </c>
      <c r="F344" s="2">
        <v>24555.64</v>
      </c>
      <c r="G344" s="2">
        <v>31343</v>
      </c>
      <c r="H344" s="2">
        <v>0</v>
      </c>
    </row>
    <row r="345" spans="1:8">
      <c r="A345" t="s">
        <v>1050</v>
      </c>
      <c r="B345" t="s">
        <v>314</v>
      </c>
      <c r="C345" s="1" t="s">
        <v>318</v>
      </c>
      <c r="D345" t="s">
        <v>1372</v>
      </c>
      <c r="E345" s="2">
        <v>248877.99999999988</v>
      </c>
      <c r="F345" s="2">
        <v>248763.7</v>
      </c>
      <c r="G345" s="2">
        <v>248877.99999999988</v>
      </c>
      <c r="H345" s="2">
        <v>248763.7</v>
      </c>
    </row>
    <row r="346" spans="1:8">
      <c r="A346" t="s">
        <v>1051</v>
      </c>
      <c r="B346" t="s">
        <v>314</v>
      </c>
      <c r="C346" s="1" t="s">
        <v>313</v>
      </c>
      <c r="D346" t="s">
        <v>1372</v>
      </c>
      <c r="E346" s="2">
        <v>1517911</v>
      </c>
      <c r="F346" s="2">
        <v>1515463.6799999999</v>
      </c>
      <c r="G346" s="2">
        <v>1517911</v>
      </c>
      <c r="H346" s="2">
        <v>1515463.6799999999</v>
      </c>
    </row>
    <row r="347" spans="1:8">
      <c r="A347" t="s">
        <v>1052</v>
      </c>
      <c r="B347" t="s">
        <v>244</v>
      </c>
      <c r="C347" s="1" t="s">
        <v>349</v>
      </c>
      <c r="D347" t="s">
        <v>1373</v>
      </c>
      <c r="E347" s="2">
        <v>23019.999999999996</v>
      </c>
      <c r="F347" s="2">
        <v>23020</v>
      </c>
      <c r="G347" s="2">
        <v>23019.999999999996</v>
      </c>
      <c r="H347" s="2">
        <v>23020</v>
      </c>
    </row>
    <row r="348" spans="1:8">
      <c r="A348" t="s">
        <v>1053</v>
      </c>
      <c r="B348" t="s">
        <v>244</v>
      </c>
      <c r="C348" s="1" t="s">
        <v>337</v>
      </c>
      <c r="D348" t="s">
        <v>1373</v>
      </c>
      <c r="E348" s="2">
        <v>222273.00000000006</v>
      </c>
      <c r="F348" s="2">
        <v>222273</v>
      </c>
      <c r="G348" s="2">
        <v>222273.00000000006</v>
      </c>
      <c r="H348" s="2">
        <v>222273</v>
      </c>
    </row>
    <row r="349" spans="1:8">
      <c r="A349" t="s">
        <v>1054</v>
      </c>
      <c r="B349" t="s">
        <v>244</v>
      </c>
      <c r="C349" s="1" t="s">
        <v>243</v>
      </c>
      <c r="D349" t="s">
        <v>1373</v>
      </c>
      <c r="E349" s="2">
        <v>269732</v>
      </c>
      <c r="F349" s="2">
        <v>255098</v>
      </c>
      <c r="G349" s="2">
        <v>269732</v>
      </c>
      <c r="H349" s="2">
        <v>255098</v>
      </c>
    </row>
    <row r="350" spans="1:8">
      <c r="A350" t="s">
        <v>1055</v>
      </c>
      <c r="B350" t="s">
        <v>244</v>
      </c>
      <c r="C350" s="1" t="s">
        <v>334</v>
      </c>
      <c r="D350" t="s">
        <v>1373</v>
      </c>
      <c r="E350" s="2">
        <v>96686</v>
      </c>
      <c r="F350" s="2">
        <v>96685.999999999985</v>
      </c>
      <c r="G350" s="2">
        <v>96686</v>
      </c>
      <c r="H350" s="2">
        <v>96685.999999999985</v>
      </c>
    </row>
    <row r="351" spans="1:8">
      <c r="A351" t="s">
        <v>1056</v>
      </c>
      <c r="B351" t="s">
        <v>244</v>
      </c>
      <c r="C351" s="1" t="s">
        <v>643</v>
      </c>
      <c r="D351" t="s">
        <v>1373</v>
      </c>
      <c r="E351" s="2">
        <v>25100</v>
      </c>
      <c r="F351" s="2">
        <v>25100</v>
      </c>
      <c r="G351" s="2">
        <v>25100</v>
      </c>
      <c r="H351" s="2">
        <v>25100</v>
      </c>
    </row>
    <row r="352" spans="1:8">
      <c r="A352" t="s">
        <v>1057</v>
      </c>
      <c r="B352" t="s">
        <v>563</v>
      </c>
      <c r="C352" s="1" t="s">
        <v>697</v>
      </c>
      <c r="D352" t="s">
        <v>1374</v>
      </c>
      <c r="E352" s="2">
        <v>76035</v>
      </c>
      <c r="F352" s="2">
        <v>76035</v>
      </c>
      <c r="G352" s="2">
        <v>76035</v>
      </c>
      <c r="H352" s="2">
        <v>76035</v>
      </c>
    </row>
    <row r="353" spans="1:8">
      <c r="A353" t="s">
        <v>1058</v>
      </c>
      <c r="B353" t="s">
        <v>563</v>
      </c>
      <c r="C353" s="1" t="s">
        <v>690</v>
      </c>
      <c r="D353" t="s">
        <v>1374</v>
      </c>
      <c r="E353" s="2">
        <v>6700</v>
      </c>
      <c r="F353" s="2">
        <v>6700</v>
      </c>
      <c r="G353" s="2">
        <v>6700</v>
      </c>
      <c r="H353" s="2">
        <v>6700</v>
      </c>
    </row>
    <row r="354" spans="1:8">
      <c r="A354" t="s">
        <v>1059</v>
      </c>
      <c r="B354" t="s">
        <v>563</v>
      </c>
      <c r="C354" s="1" t="s">
        <v>562</v>
      </c>
      <c r="D354" t="s">
        <v>1374</v>
      </c>
      <c r="E354" s="2">
        <v>31342</v>
      </c>
      <c r="F354" s="2">
        <v>12045.109999999999</v>
      </c>
      <c r="G354" s="2">
        <v>31342</v>
      </c>
      <c r="H354" s="2">
        <v>0</v>
      </c>
    </row>
    <row r="355" spans="1:8">
      <c r="A355" t="s">
        <v>1060</v>
      </c>
      <c r="B355" t="s">
        <v>105</v>
      </c>
      <c r="C355" s="1" t="s">
        <v>332</v>
      </c>
      <c r="D355" t="s">
        <v>1375</v>
      </c>
      <c r="E355" s="2">
        <v>25800</v>
      </c>
      <c r="F355" s="2">
        <v>22500</v>
      </c>
      <c r="G355" s="2">
        <v>25800</v>
      </c>
      <c r="H355" s="2">
        <v>22500</v>
      </c>
    </row>
    <row r="356" spans="1:8">
      <c r="A356" t="s">
        <v>1061</v>
      </c>
      <c r="B356" t="s">
        <v>105</v>
      </c>
      <c r="C356" s="1" t="s">
        <v>104</v>
      </c>
      <c r="D356" t="s">
        <v>1375</v>
      </c>
      <c r="E356" s="2">
        <v>376551</v>
      </c>
      <c r="F356" s="2">
        <v>376551</v>
      </c>
      <c r="G356" s="2">
        <v>376551</v>
      </c>
      <c r="H356" s="2">
        <v>376551</v>
      </c>
    </row>
    <row r="357" spans="1:8">
      <c r="A357" t="s">
        <v>1062</v>
      </c>
      <c r="B357" t="s">
        <v>105</v>
      </c>
      <c r="C357" s="1" t="s">
        <v>642</v>
      </c>
      <c r="D357" t="s">
        <v>1375</v>
      </c>
      <c r="E357" s="2">
        <v>12150</v>
      </c>
      <c r="F357" s="2">
        <v>12150</v>
      </c>
      <c r="G357" s="2">
        <v>12150</v>
      </c>
      <c r="H357" s="2">
        <v>12150</v>
      </c>
    </row>
    <row r="358" spans="1:8">
      <c r="A358" t="s">
        <v>1063</v>
      </c>
      <c r="B358" t="s">
        <v>135</v>
      </c>
      <c r="C358" s="1" t="s">
        <v>245</v>
      </c>
      <c r="D358" t="s">
        <v>1376</v>
      </c>
      <c r="E358" s="2">
        <v>257350</v>
      </c>
      <c r="F358" s="2">
        <v>257350</v>
      </c>
      <c r="G358" s="2">
        <v>257350</v>
      </c>
      <c r="H358" s="2">
        <v>257350</v>
      </c>
    </row>
    <row r="359" spans="1:8">
      <c r="A359" t="s">
        <v>1064</v>
      </c>
      <c r="B359" t="s">
        <v>135</v>
      </c>
      <c r="C359" s="1" t="s">
        <v>139</v>
      </c>
      <c r="D359" t="s">
        <v>1376</v>
      </c>
      <c r="E359" s="2">
        <v>587130</v>
      </c>
      <c r="F359" s="2">
        <v>587130</v>
      </c>
      <c r="G359" s="2">
        <v>587130</v>
      </c>
      <c r="H359" s="2">
        <v>587130</v>
      </c>
    </row>
    <row r="360" spans="1:8">
      <c r="A360" t="s">
        <v>1065</v>
      </c>
      <c r="B360" t="s">
        <v>135</v>
      </c>
      <c r="C360" s="1" t="s">
        <v>247</v>
      </c>
      <c r="D360" t="s">
        <v>1376</v>
      </c>
      <c r="E360" s="2">
        <v>331010</v>
      </c>
      <c r="F360" s="2">
        <v>331010</v>
      </c>
      <c r="G360" s="2">
        <v>331010</v>
      </c>
      <c r="H360" s="2">
        <v>331010</v>
      </c>
    </row>
    <row r="361" spans="1:8">
      <c r="A361" t="s">
        <v>1066</v>
      </c>
      <c r="B361" t="s">
        <v>135</v>
      </c>
      <c r="C361" s="1" t="s">
        <v>134</v>
      </c>
      <c r="D361" t="s">
        <v>1376</v>
      </c>
      <c r="E361" s="2">
        <v>327428.00000000006</v>
      </c>
      <c r="F361" s="2">
        <v>327428</v>
      </c>
      <c r="G361" s="2">
        <v>327428.00000000006</v>
      </c>
      <c r="H361" s="2">
        <v>327428</v>
      </c>
    </row>
    <row r="362" spans="1:8">
      <c r="A362" t="s">
        <v>1067</v>
      </c>
      <c r="B362" t="s">
        <v>135</v>
      </c>
      <c r="C362" s="1" t="s">
        <v>628</v>
      </c>
      <c r="D362" t="s">
        <v>1376</v>
      </c>
      <c r="E362" s="2">
        <v>48600</v>
      </c>
      <c r="F362" s="2">
        <v>48600</v>
      </c>
      <c r="G362" s="2">
        <v>48600</v>
      </c>
      <c r="H362" s="2">
        <v>48600</v>
      </c>
    </row>
    <row r="363" spans="1:8">
      <c r="A363" t="s">
        <v>1068</v>
      </c>
      <c r="B363" t="s">
        <v>660</v>
      </c>
      <c r="C363" s="1" t="s">
        <v>661</v>
      </c>
      <c r="D363" t="s">
        <v>1377</v>
      </c>
      <c r="E363" s="2">
        <v>67243.14</v>
      </c>
      <c r="F363" s="2">
        <v>67243.14</v>
      </c>
      <c r="G363" s="2">
        <v>67243.14</v>
      </c>
      <c r="H363" s="2">
        <v>67243.14</v>
      </c>
    </row>
    <row r="364" spans="1:8">
      <c r="A364" t="s">
        <v>1069</v>
      </c>
      <c r="B364" t="s">
        <v>660</v>
      </c>
      <c r="C364" s="1" t="s">
        <v>662</v>
      </c>
      <c r="D364" t="s">
        <v>1378</v>
      </c>
      <c r="E364" s="2">
        <v>217046.71999999997</v>
      </c>
      <c r="F364" s="2">
        <v>217046.72000000003</v>
      </c>
      <c r="G364" s="2">
        <v>217046.71999999997</v>
      </c>
      <c r="H364" s="2">
        <v>217046.72000000003</v>
      </c>
    </row>
    <row r="365" spans="1:8">
      <c r="A365" t="s">
        <v>1070</v>
      </c>
      <c r="B365" t="s">
        <v>660</v>
      </c>
      <c r="C365" s="1" t="s">
        <v>659</v>
      </c>
      <c r="D365" t="s">
        <v>1379</v>
      </c>
      <c r="E365" s="2">
        <v>428074.20999999996</v>
      </c>
      <c r="F365" s="2">
        <v>428074.21</v>
      </c>
      <c r="G365" s="2">
        <v>428074.20999999996</v>
      </c>
      <c r="H365" s="2">
        <v>428074.21</v>
      </c>
    </row>
    <row r="366" spans="1:8">
      <c r="A366" t="s">
        <v>1071</v>
      </c>
      <c r="B366" t="s">
        <v>231</v>
      </c>
      <c r="C366" s="1" t="s">
        <v>239</v>
      </c>
      <c r="D366" t="s">
        <v>1380</v>
      </c>
      <c r="E366" s="2">
        <v>71768</v>
      </c>
      <c r="F366" s="2">
        <v>71768</v>
      </c>
      <c r="G366" s="2">
        <v>71768</v>
      </c>
      <c r="H366" s="2">
        <v>71768</v>
      </c>
    </row>
    <row r="367" spans="1:8">
      <c r="A367" t="s">
        <v>1072</v>
      </c>
      <c r="B367" t="s">
        <v>231</v>
      </c>
      <c r="C367" s="1" t="s">
        <v>230</v>
      </c>
      <c r="D367" t="s">
        <v>1380</v>
      </c>
      <c r="E367" s="2">
        <v>191496.00000000003</v>
      </c>
      <c r="F367" s="2">
        <v>191495.99999999997</v>
      </c>
      <c r="G367" s="2">
        <v>191496.00000000003</v>
      </c>
      <c r="H367" s="2">
        <v>191495.99999999997</v>
      </c>
    </row>
    <row r="368" spans="1:8">
      <c r="A368" t="s">
        <v>1073</v>
      </c>
      <c r="B368" t="s">
        <v>231</v>
      </c>
      <c r="C368" s="1" t="s">
        <v>234</v>
      </c>
      <c r="D368" t="s">
        <v>1380</v>
      </c>
      <c r="E368" s="2">
        <v>134886</v>
      </c>
      <c r="F368" s="2">
        <v>134886</v>
      </c>
      <c r="G368" s="2">
        <v>134886</v>
      </c>
      <c r="H368" s="2">
        <v>134886</v>
      </c>
    </row>
    <row r="369" spans="1:8">
      <c r="A369" t="s">
        <v>1074</v>
      </c>
      <c r="B369" t="s">
        <v>231</v>
      </c>
      <c r="C369" s="1" t="s">
        <v>238</v>
      </c>
      <c r="D369" t="s">
        <v>1380</v>
      </c>
      <c r="E369" s="2">
        <v>282776</v>
      </c>
      <c r="F369" s="2">
        <v>282776</v>
      </c>
      <c r="G369" s="2">
        <v>282776</v>
      </c>
      <c r="H369" s="2">
        <v>282776</v>
      </c>
    </row>
    <row r="370" spans="1:8">
      <c r="A370" t="s">
        <v>1075</v>
      </c>
      <c r="B370" t="s">
        <v>231</v>
      </c>
      <c r="C370" s="1" t="s">
        <v>237</v>
      </c>
      <c r="D370" t="s">
        <v>1380</v>
      </c>
      <c r="E370" s="2">
        <v>22950</v>
      </c>
      <c r="F370" s="2">
        <v>22950</v>
      </c>
      <c r="G370" s="2">
        <v>22950</v>
      </c>
      <c r="H370" s="2">
        <v>22950</v>
      </c>
    </row>
    <row r="371" spans="1:8">
      <c r="A371" t="s">
        <v>1076</v>
      </c>
      <c r="B371" t="s">
        <v>83</v>
      </c>
      <c r="C371" s="1" t="s">
        <v>253</v>
      </c>
      <c r="D371" t="s">
        <v>1381</v>
      </c>
      <c r="E371" s="2">
        <v>46559</v>
      </c>
      <c r="F371" s="2">
        <v>46218</v>
      </c>
      <c r="G371" s="2">
        <v>46559</v>
      </c>
      <c r="H371" s="2">
        <v>46218</v>
      </c>
    </row>
    <row r="372" spans="1:8">
      <c r="A372" t="s">
        <v>1077</v>
      </c>
      <c r="B372" t="s">
        <v>83</v>
      </c>
      <c r="C372" s="1" t="s">
        <v>82</v>
      </c>
      <c r="D372" t="s">
        <v>1381</v>
      </c>
      <c r="E372" s="2">
        <v>601731</v>
      </c>
      <c r="F372" s="2">
        <v>601731</v>
      </c>
      <c r="G372" s="2">
        <v>601731</v>
      </c>
      <c r="H372" s="2">
        <v>601731</v>
      </c>
    </row>
    <row r="373" spans="1:8">
      <c r="A373" t="s">
        <v>1078</v>
      </c>
      <c r="B373" t="s">
        <v>83</v>
      </c>
      <c r="C373" s="1" t="s">
        <v>144</v>
      </c>
      <c r="D373" t="s">
        <v>1381</v>
      </c>
      <c r="E373" s="2">
        <v>659190</v>
      </c>
      <c r="F373" s="2">
        <v>659190</v>
      </c>
      <c r="G373" s="2">
        <v>659190</v>
      </c>
      <c r="H373" s="2">
        <v>659190</v>
      </c>
    </row>
    <row r="374" spans="1:8">
      <c r="A374" t="s">
        <v>1079</v>
      </c>
      <c r="B374" t="s">
        <v>83</v>
      </c>
      <c r="C374" s="1" t="s">
        <v>639</v>
      </c>
      <c r="D374" t="s">
        <v>1381</v>
      </c>
      <c r="E374" s="2">
        <v>35200</v>
      </c>
      <c r="F374" s="2">
        <v>35200</v>
      </c>
      <c r="G374" s="2">
        <v>35200</v>
      </c>
      <c r="H374" s="2">
        <v>35200</v>
      </c>
    </row>
    <row r="375" spans="1:8">
      <c r="A375" t="s">
        <v>1080</v>
      </c>
      <c r="B375" t="s">
        <v>339</v>
      </c>
      <c r="C375" s="1" t="s">
        <v>338</v>
      </c>
      <c r="D375" t="s">
        <v>1382</v>
      </c>
      <c r="E375" s="2">
        <v>438739.99999999983</v>
      </c>
      <c r="F375" s="2">
        <v>438740</v>
      </c>
      <c r="G375" s="2">
        <v>438739.99999999983</v>
      </c>
      <c r="H375" s="2">
        <v>438740</v>
      </c>
    </row>
    <row r="376" spans="1:8">
      <c r="A376" t="s">
        <v>1081</v>
      </c>
      <c r="B376" t="s">
        <v>339</v>
      </c>
      <c r="C376" s="1" t="s">
        <v>344</v>
      </c>
      <c r="D376" t="s">
        <v>1383</v>
      </c>
      <c r="E376" s="2">
        <v>13429.999999999998</v>
      </c>
      <c r="F376" s="2">
        <v>13430</v>
      </c>
      <c r="G376" s="2">
        <v>13429.999999999998</v>
      </c>
      <c r="H376" s="2">
        <v>13430</v>
      </c>
    </row>
    <row r="377" spans="1:8">
      <c r="A377" t="s">
        <v>1082</v>
      </c>
      <c r="B377" t="s">
        <v>348</v>
      </c>
      <c r="C377" s="1" t="s">
        <v>347</v>
      </c>
      <c r="D377" t="s">
        <v>1384</v>
      </c>
      <c r="E377" s="2">
        <v>57660.000000000007</v>
      </c>
      <c r="F377" s="2">
        <v>57660</v>
      </c>
      <c r="G377" s="2">
        <v>57660.000000000007</v>
      </c>
      <c r="H377" s="2">
        <v>57660</v>
      </c>
    </row>
    <row r="378" spans="1:8">
      <c r="A378" t="s">
        <v>1083</v>
      </c>
      <c r="B378" t="s">
        <v>343</v>
      </c>
      <c r="C378" s="1" t="s">
        <v>342</v>
      </c>
      <c r="D378" t="s">
        <v>1385</v>
      </c>
      <c r="E378" s="2">
        <v>16475</v>
      </c>
      <c r="F378" s="2">
        <v>16475</v>
      </c>
      <c r="G378" s="2">
        <v>16475</v>
      </c>
      <c r="H378" s="2">
        <v>16475</v>
      </c>
    </row>
    <row r="379" spans="1:8">
      <c r="A379" t="s">
        <v>1084</v>
      </c>
      <c r="B379" t="s">
        <v>119</v>
      </c>
      <c r="C379" s="1" t="s">
        <v>246</v>
      </c>
      <c r="D379" t="s">
        <v>1386</v>
      </c>
      <c r="E379" s="2">
        <v>152855</v>
      </c>
      <c r="F379" s="2">
        <v>152855.00000000003</v>
      </c>
      <c r="G379" s="2">
        <v>152855</v>
      </c>
      <c r="H379" s="2">
        <v>152855.00000000003</v>
      </c>
    </row>
    <row r="380" spans="1:8">
      <c r="A380" t="s">
        <v>1085</v>
      </c>
      <c r="B380" t="s">
        <v>119</v>
      </c>
      <c r="C380" s="1" t="s">
        <v>333</v>
      </c>
      <c r="D380" t="s">
        <v>1386</v>
      </c>
      <c r="E380" s="2">
        <v>186702.99999999997</v>
      </c>
      <c r="F380" s="2">
        <v>185936.9</v>
      </c>
      <c r="G380" s="2">
        <v>186702.99999999997</v>
      </c>
      <c r="H380" s="2">
        <v>185936.9</v>
      </c>
    </row>
    <row r="381" spans="1:8">
      <c r="A381" t="s">
        <v>1086</v>
      </c>
      <c r="B381" t="s">
        <v>119</v>
      </c>
      <c r="C381" s="1" t="s">
        <v>118</v>
      </c>
      <c r="D381" t="s">
        <v>1386</v>
      </c>
      <c r="E381" s="2">
        <v>311428</v>
      </c>
      <c r="F381" s="2">
        <v>311428</v>
      </c>
      <c r="G381" s="2">
        <v>311428</v>
      </c>
      <c r="H381" s="2">
        <v>311428</v>
      </c>
    </row>
    <row r="382" spans="1:8">
      <c r="A382" t="s">
        <v>1087</v>
      </c>
      <c r="B382" t="s">
        <v>119</v>
      </c>
      <c r="C382" s="1" t="s">
        <v>640</v>
      </c>
      <c r="D382" t="s">
        <v>1386</v>
      </c>
      <c r="E382" s="2">
        <v>22150</v>
      </c>
      <c r="F382" s="2">
        <v>22150</v>
      </c>
      <c r="G382" s="2">
        <v>22150</v>
      </c>
      <c r="H382" s="2">
        <v>22150</v>
      </c>
    </row>
    <row r="383" spans="1:8">
      <c r="A383" t="s">
        <v>1088</v>
      </c>
      <c r="B383" t="s">
        <v>161</v>
      </c>
      <c r="C383" s="1" t="s">
        <v>168</v>
      </c>
      <c r="D383" t="s">
        <v>1387</v>
      </c>
      <c r="E383" s="2">
        <v>121488.15</v>
      </c>
      <c r="F383" s="2">
        <v>121488.15</v>
      </c>
      <c r="G383" s="2">
        <v>121488.15</v>
      </c>
      <c r="H383" s="2">
        <v>121488.15</v>
      </c>
    </row>
    <row r="384" spans="1:8">
      <c r="A384" t="s">
        <v>1089</v>
      </c>
      <c r="B384" t="s">
        <v>161</v>
      </c>
      <c r="C384" s="1" t="s">
        <v>160</v>
      </c>
      <c r="D384" t="s">
        <v>1387</v>
      </c>
      <c r="E384" s="2">
        <v>17669.189999999999</v>
      </c>
      <c r="F384" s="2">
        <v>17669.189999999999</v>
      </c>
      <c r="G384" s="2">
        <v>17669.189999999999</v>
      </c>
      <c r="H384" s="2">
        <v>17669.189999999999</v>
      </c>
    </row>
    <row r="385" spans="1:8">
      <c r="A385" t="s">
        <v>1090</v>
      </c>
      <c r="B385" t="s">
        <v>148</v>
      </c>
      <c r="C385" s="1" t="s">
        <v>147</v>
      </c>
      <c r="D385" t="s">
        <v>1387</v>
      </c>
      <c r="E385" s="2">
        <v>115778.33</v>
      </c>
      <c r="F385" s="2">
        <v>115778.33</v>
      </c>
      <c r="G385" s="2">
        <v>115778.33</v>
      </c>
      <c r="H385" s="2">
        <v>115778.33</v>
      </c>
    </row>
    <row r="386" spans="1:8">
      <c r="A386" t="s">
        <v>1091</v>
      </c>
      <c r="B386" t="s">
        <v>148</v>
      </c>
      <c r="C386" s="1" t="s">
        <v>166</v>
      </c>
      <c r="D386" t="s">
        <v>1387</v>
      </c>
      <c r="E386" s="2">
        <v>22751.120000000003</v>
      </c>
      <c r="F386" s="2">
        <v>22751.119999999995</v>
      </c>
      <c r="G386" s="2">
        <v>22751.120000000003</v>
      </c>
      <c r="H386" s="2">
        <v>22751.119999999995</v>
      </c>
    </row>
    <row r="387" spans="1:8">
      <c r="A387" t="s">
        <v>1092</v>
      </c>
      <c r="B387" t="s">
        <v>157</v>
      </c>
      <c r="C387" s="1" t="s">
        <v>173</v>
      </c>
      <c r="D387" t="s">
        <v>1387</v>
      </c>
      <c r="E387" s="2">
        <v>45504.130000000005</v>
      </c>
      <c r="F387" s="2">
        <v>45504.13</v>
      </c>
      <c r="G387" s="2">
        <v>45504.130000000005</v>
      </c>
      <c r="H387" s="2">
        <v>45504.13</v>
      </c>
    </row>
    <row r="388" spans="1:8">
      <c r="A388" t="s">
        <v>1093</v>
      </c>
      <c r="B388" t="s">
        <v>157</v>
      </c>
      <c r="C388" s="1" t="s">
        <v>156</v>
      </c>
      <c r="D388" t="s">
        <v>1387</v>
      </c>
      <c r="E388" s="2">
        <v>228657.66</v>
      </c>
      <c r="F388" s="2">
        <v>228657.66000000003</v>
      </c>
      <c r="G388" s="2">
        <v>228657.66</v>
      </c>
      <c r="H388" s="2">
        <v>228657.66000000003</v>
      </c>
    </row>
    <row r="389" spans="1:8">
      <c r="A389" t="s">
        <v>1094</v>
      </c>
      <c r="B389" t="s">
        <v>146</v>
      </c>
      <c r="C389" s="1" t="s">
        <v>167</v>
      </c>
      <c r="D389" t="s">
        <v>1387</v>
      </c>
      <c r="E389" s="2">
        <v>160486.04</v>
      </c>
      <c r="F389" s="2">
        <v>160486.04</v>
      </c>
      <c r="G389" s="2">
        <v>160486.04</v>
      </c>
      <c r="H389" s="2">
        <v>160486.04</v>
      </c>
    </row>
    <row r="390" spans="1:8">
      <c r="A390" t="s">
        <v>1095</v>
      </c>
      <c r="B390" t="s">
        <v>146</v>
      </c>
      <c r="C390" s="1" t="s">
        <v>145</v>
      </c>
      <c r="D390" t="s">
        <v>1387</v>
      </c>
      <c r="E390" s="2">
        <v>23083.810000000005</v>
      </c>
      <c r="F390" s="2">
        <v>23083.81</v>
      </c>
      <c r="G390" s="2">
        <v>23083.810000000005</v>
      </c>
      <c r="H390" s="2">
        <v>23083.81</v>
      </c>
    </row>
    <row r="391" spans="1:8">
      <c r="A391" t="s">
        <v>1096</v>
      </c>
      <c r="B391" t="s">
        <v>152</v>
      </c>
      <c r="C391" s="1" t="s">
        <v>162</v>
      </c>
      <c r="D391" t="s">
        <v>1387</v>
      </c>
      <c r="E391" s="2">
        <v>119347.83</v>
      </c>
      <c r="F391" s="2">
        <v>119347.83</v>
      </c>
      <c r="G391" s="2">
        <v>119347.83</v>
      </c>
      <c r="H391" s="2">
        <v>119347.83</v>
      </c>
    </row>
    <row r="392" spans="1:8">
      <c r="A392" t="s">
        <v>1097</v>
      </c>
      <c r="B392" t="s">
        <v>152</v>
      </c>
      <c r="C392" s="1" t="s">
        <v>151</v>
      </c>
      <c r="D392" t="s">
        <v>1387</v>
      </c>
      <c r="E392" s="2">
        <v>8915.35</v>
      </c>
      <c r="F392" s="2">
        <v>8915.3499999999985</v>
      </c>
      <c r="G392" s="2">
        <v>8915.35</v>
      </c>
      <c r="H392" s="2">
        <v>8915.3499999999985</v>
      </c>
    </row>
    <row r="393" spans="1:8">
      <c r="A393" t="s">
        <v>1098</v>
      </c>
      <c r="B393" t="s">
        <v>159</v>
      </c>
      <c r="C393" s="1" t="s">
        <v>165</v>
      </c>
      <c r="D393" t="s">
        <v>1387</v>
      </c>
      <c r="E393" s="2">
        <v>53629.54</v>
      </c>
      <c r="F393" s="2">
        <v>53629.54</v>
      </c>
      <c r="G393" s="2">
        <v>53629.54</v>
      </c>
      <c r="H393" s="2">
        <v>53629.54</v>
      </c>
    </row>
    <row r="394" spans="1:8">
      <c r="A394" t="s">
        <v>1099</v>
      </c>
      <c r="B394" t="s">
        <v>159</v>
      </c>
      <c r="C394" s="1" t="s">
        <v>158</v>
      </c>
      <c r="D394" t="s">
        <v>1387</v>
      </c>
      <c r="E394" s="2">
        <v>327671.13</v>
      </c>
      <c r="F394" s="2">
        <v>327671.12999999995</v>
      </c>
      <c r="G394" s="2">
        <v>327671.13</v>
      </c>
      <c r="H394" s="2">
        <v>327671.12999999995</v>
      </c>
    </row>
    <row r="395" spans="1:8">
      <c r="A395" t="s">
        <v>1100</v>
      </c>
      <c r="B395" t="s">
        <v>154</v>
      </c>
      <c r="C395" s="1" t="s">
        <v>153</v>
      </c>
      <c r="D395" t="s">
        <v>1387</v>
      </c>
      <c r="E395" s="2">
        <v>31261.18</v>
      </c>
      <c r="F395" s="2">
        <v>31261.18</v>
      </c>
      <c r="G395" s="2">
        <v>31261.18</v>
      </c>
      <c r="H395" s="2">
        <v>31261.18</v>
      </c>
    </row>
    <row r="396" spans="1:8">
      <c r="A396" t="s">
        <v>1101</v>
      </c>
      <c r="B396" t="s">
        <v>154</v>
      </c>
      <c r="C396" s="1" t="s">
        <v>155</v>
      </c>
      <c r="D396" t="s">
        <v>1387</v>
      </c>
      <c r="E396" s="2">
        <v>172244.43</v>
      </c>
      <c r="F396" s="2">
        <v>172244.43</v>
      </c>
      <c r="G396" s="2">
        <v>172244.43</v>
      </c>
      <c r="H396" s="2">
        <v>172244.43</v>
      </c>
    </row>
    <row r="397" spans="1:8">
      <c r="A397" t="s">
        <v>1102</v>
      </c>
      <c r="B397" t="s">
        <v>123</v>
      </c>
      <c r="C397" s="1" t="s">
        <v>252</v>
      </c>
      <c r="D397" t="s">
        <v>1388</v>
      </c>
      <c r="E397" s="2">
        <v>156707</v>
      </c>
      <c r="F397" s="2">
        <v>156707</v>
      </c>
      <c r="G397" s="2">
        <v>156707</v>
      </c>
      <c r="H397" s="2">
        <v>156707</v>
      </c>
    </row>
    <row r="398" spans="1:8">
      <c r="A398" t="s">
        <v>1103</v>
      </c>
      <c r="B398" t="s">
        <v>123</v>
      </c>
      <c r="C398" s="1" t="s">
        <v>122</v>
      </c>
      <c r="D398" t="s">
        <v>1388</v>
      </c>
      <c r="E398" s="2">
        <v>607397</v>
      </c>
      <c r="F398" s="2">
        <v>607397</v>
      </c>
      <c r="G398" s="2">
        <v>607397</v>
      </c>
      <c r="H398" s="2">
        <v>607397</v>
      </c>
    </row>
    <row r="399" spans="1:8">
      <c r="A399" t="s">
        <v>1104</v>
      </c>
      <c r="B399" t="s">
        <v>123</v>
      </c>
      <c r="C399" s="1" t="s">
        <v>641</v>
      </c>
      <c r="D399" t="s">
        <v>1388</v>
      </c>
      <c r="E399" s="2">
        <v>37050</v>
      </c>
      <c r="F399" s="2">
        <v>37050</v>
      </c>
      <c r="G399" s="2">
        <v>37050</v>
      </c>
      <c r="H399" s="2">
        <v>37050</v>
      </c>
    </row>
    <row r="400" spans="1:8">
      <c r="A400" t="s">
        <v>1105</v>
      </c>
      <c r="B400" t="s">
        <v>346</v>
      </c>
      <c r="C400" s="1" t="s">
        <v>345</v>
      </c>
      <c r="D400" t="s">
        <v>1389</v>
      </c>
      <c r="E400" s="2">
        <v>68390</v>
      </c>
      <c r="F400" s="2">
        <v>68390</v>
      </c>
      <c r="G400" s="2">
        <v>68390</v>
      </c>
      <c r="H400" s="2">
        <v>68390</v>
      </c>
    </row>
    <row r="401" spans="1:8">
      <c r="A401" t="s">
        <v>1106</v>
      </c>
      <c r="B401" t="s">
        <v>346</v>
      </c>
      <c r="C401" s="1" t="s">
        <v>352</v>
      </c>
      <c r="D401" t="s">
        <v>1389</v>
      </c>
      <c r="E401" s="2">
        <v>11879.999999999998</v>
      </c>
      <c r="F401" s="2">
        <v>11880</v>
      </c>
      <c r="G401" s="2">
        <v>11879.999999999998</v>
      </c>
      <c r="H401" s="2">
        <v>11880</v>
      </c>
    </row>
    <row r="402" spans="1:8">
      <c r="A402" t="s">
        <v>1107</v>
      </c>
      <c r="B402" t="s">
        <v>637</v>
      </c>
      <c r="C402" s="1" t="s">
        <v>636</v>
      </c>
      <c r="D402" t="s">
        <v>1390</v>
      </c>
      <c r="E402" s="2">
        <v>200000</v>
      </c>
      <c r="F402" s="2">
        <v>0</v>
      </c>
      <c r="G402" s="2">
        <v>200000</v>
      </c>
      <c r="H402" s="2">
        <v>0</v>
      </c>
    </row>
    <row r="403" spans="1:8">
      <c r="A403" t="s">
        <v>1108</v>
      </c>
      <c r="B403" t="s">
        <v>150</v>
      </c>
      <c r="C403" s="1" t="s">
        <v>149</v>
      </c>
      <c r="D403" t="s">
        <v>1391</v>
      </c>
      <c r="E403" s="2">
        <v>677954.75</v>
      </c>
      <c r="F403" s="2">
        <v>677954.75</v>
      </c>
      <c r="G403" s="2">
        <v>677954.75</v>
      </c>
      <c r="H403" s="2">
        <v>677954.75</v>
      </c>
    </row>
    <row r="404" spans="1:8">
      <c r="A404" t="s">
        <v>1109</v>
      </c>
      <c r="B404" t="s">
        <v>74</v>
      </c>
      <c r="C404" s="1" t="s">
        <v>73</v>
      </c>
      <c r="D404" t="s">
        <v>1392</v>
      </c>
      <c r="E404" s="2">
        <v>1559001.33</v>
      </c>
      <c r="F404" s="2">
        <v>1559001.33</v>
      </c>
      <c r="G404" s="2">
        <v>1559001.33</v>
      </c>
      <c r="H404" s="2">
        <v>1559001.33</v>
      </c>
    </row>
    <row r="405" spans="1:8">
      <c r="A405" t="s">
        <v>1110</v>
      </c>
      <c r="B405" t="s">
        <v>655</v>
      </c>
      <c r="C405" s="1" t="s">
        <v>654</v>
      </c>
      <c r="D405" t="s">
        <v>1393</v>
      </c>
      <c r="E405" s="2">
        <v>406539.61</v>
      </c>
      <c r="F405" s="2">
        <v>406539.61000000004</v>
      </c>
      <c r="G405" s="2">
        <v>406539.61</v>
      </c>
      <c r="H405" s="2">
        <v>406539.61000000004</v>
      </c>
    </row>
    <row r="406" spans="1:8">
      <c r="A406" t="s">
        <v>1111</v>
      </c>
      <c r="B406" t="s">
        <v>409</v>
      </c>
      <c r="C406" s="1" t="s">
        <v>408</v>
      </c>
      <c r="D406" t="s">
        <v>1394</v>
      </c>
      <c r="E406" s="2">
        <v>2481472.12</v>
      </c>
      <c r="F406" s="2">
        <v>208051.55</v>
      </c>
      <c r="G406" s="2">
        <v>2481472.12</v>
      </c>
      <c r="H406" s="2">
        <v>215115.81</v>
      </c>
    </row>
    <row r="407" spans="1:8">
      <c r="A407" t="s">
        <v>1112</v>
      </c>
      <c r="B407" t="s">
        <v>409</v>
      </c>
      <c r="C407" s="1" t="s">
        <v>490</v>
      </c>
      <c r="D407" t="s">
        <v>1394</v>
      </c>
      <c r="E407" s="2">
        <v>1169159.3999999999</v>
      </c>
      <c r="F407" s="2">
        <v>863912.47000000009</v>
      </c>
      <c r="G407" s="2">
        <v>1169159.3999999999</v>
      </c>
      <c r="H407" s="2">
        <v>863912.47000000009</v>
      </c>
    </row>
    <row r="408" spans="1:8">
      <c r="A408" t="s">
        <v>1113</v>
      </c>
      <c r="B408" t="s">
        <v>548</v>
      </c>
      <c r="C408" s="1" t="s">
        <v>547</v>
      </c>
      <c r="D408" t="s">
        <v>1395</v>
      </c>
      <c r="E408" s="2">
        <v>36660</v>
      </c>
      <c r="F408" s="2">
        <v>0</v>
      </c>
      <c r="G408" s="2">
        <v>36660</v>
      </c>
      <c r="H408" s="2">
        <v>0</v>
      </c>
    </row>
    <row r="409" spans="1:8">
      <c r="A409" t="s">
        <v>1114</v>
      </c>
      <c r="B409" t="s">
        <v>608</v>
      </c>
      <c r="C409" s="1" t="s">
        <v>607</v>
      </c>
      <c r="D409" t="s">
        <v>1396</v>
      </c>
      <c r="E409" s="2">
        <v>92080</v>
      </c>
      <c r="F409" s="2">
        <v>0</v>
      </c>
      <c r="G409" s="2">
        <v>92080</v>
      </c>
      <c r="H409" s="2">
        <v>0</v>
      </c>
    </row>
    <row r="410" spans="1:8">
      <c r="A410" t="s">
        <v>1115</v>
      </c>
      <c r="B410" t="s">
        <v>89</v>
      </c>
      <c r="C410" s="1" t="s">
        <v>88</v>
      </c>
      <c r="D410" t="s">
        <v>1397</v>
      </c>
      <c r="E410" s="2">
        <v>706550.74</v>
      </c>
      <c r="F410" s="2">
        <v>706550.74</v>
      </c>
      <c r="G410" s="2">
        <v>706550.74</v>
      </c>
      <c r="H410" s="2">
        <v>706550.74</v>
      </c>
    </row>
    <row r="411" spans="1:8">
      <c r="A411" t="s">
        <v>1116</v>
      </c>
      <c r="B411" t="s">
        <v>258</v>
      </c>
      <c r="C411" s="1" t="s">
        <v>259</v>
      </c>
      <c r="D411" t="s">
        <v>1398</v>
      </c>
      <c r="E411" s="2">
        <v>75812.479999999996</v>
      </c>
      <c r="F411" s="2">
        <v>50538.969999999994</v>
      </c>
      <c r="G411" s="2">
        <v>75812.479999999996</v>
      </c>
      <c r="H411" s="2">
        <v>58264.669999999991</v>
      </c>
    </row>
    <row r="412" spans="1:8">
      <c r="A412" t="s">
        <v>1117</v>
      </c>
      <c r="B412" t="s">
        <v>258</v>
      </c>
      <c r="C412" s="1" t="s">
        <v>257</v>
      </c>
      <c r="D412" t="s">
        <v>1398</v>
      </c>
      <c r="E412" s="2">
        <v>94630.94</v>
      </c>
      <c r="F412" s="2">
        <v>92422.19</v>
      </c>
      <c r="G412" s="2">
        <v>94630.94</v>
      </c>
      <c r="H412" s="2">
        <v>94536.37</v>
      </c>
    </row>
    <row r="413" spans="1:8">
      <c r="A413" t="s">
        <v>1118</v>
      </c>
      <c r="B413" t="s">
        <v>356</v>
      </c>
      <c r="C413" s="1" t="s">
        <v>355</v>
      </c>
      <c r="D413" t="s">
        <v>1399</v>
      </c>
      <c r="E413" s="2">
        <v>51289.119999999995</v>
      </c>
      <c r="F413" s="2">
        <v>43849.54</v>
      </c>
      <c r="G413" s="2">
        <v>51289.119999999995</v>
      </c>
      <c r="H413" s="2">
        <v>44634.96</v>
      </c>
    </row>
    <row r="414" spans="1:8">
      <c r="A414" t="s">
        <v>1119</v>
      </c>
      <c r="B414" t="s">
        <v>375</v>
      </c>
      <c r="C414" s="1" t="s">
        <v>374</v>
      </c>
      <c r="D414" t="s">
        <v>1400</v>
      </c>
      <c r="E414" s="2">
        <v>84956.160000000003</v>
      </c>
      <c r="F414" s="2">
        <v>75590.899999999994</v>
      </c>
      <c r="G414" s="2">
        <v>84956.160000000003</v>
      </c>
      <c r="H414" s="2">
        <v>76534.819999999992</v>
      </c>
    </row>
    <row r="415" spans="1:8">
      <c r="A415" t="s">
        <v>1120</v>
      </c>
      <c r="B415" t="s">
        <v>72</v>
      </c>
      <c r="C415" s="1" t="s">
        <v>71</v>
      </c>
      <c r="D415" t="s">
        <v>1401</v>
      </c>
      <c r="E415" s="2">
        <v>40048.370000000003</v>
      </c>
      <c r="F415" s="2">
        <v>40048.369999999995</v>
      </c>
      <c r="G415" s="2">
        <v>40048.370000000003</v>
      </c>
      <c r="H415" s="2">
        <v>40048.369999999995</v>
      </c>
    </row>
    <row r="416" spans="1:8">
      <c r="A416" t="s">
        <v>1121</v>
      </c>
      <c r="B416" t="s">
        <v>131</v>
      </c>
      <c r="C416" s="1" t="s">
        <v>227</v>
      </c>
      <c r="D416" t="s">
        <v>1402</v>
      </c>
      <c r="E416" s="2">
        <v>232363</v>
      </c>
      <c r="F416" s="2">
        <v>206328.49</v>
      </c>
      <c r="G416" s="2">
        <v>232363</v>
      </c>
      <c r="H416" s="2">
        <v>206328.49</v>
      </c>
    </row>
    <row r="417" spans="1:8">
      <c r="A417" t="s">
        <v>1122</v>
      </c>
      <c r="B417" t="s">
        <v>131</v>
      </c>
      <c r="C417" s="1" t="s">
        <v>130</v>
      </c>
      <c r="D417" t="s">
        <v>1402</v>
      </c>
      <c r="E417" s="2">
        <v>330383</v>
      </c>
      <c r="F417" s="2">
        <v>319990</v>
      </c>
      <c r="G417" s="2">
        <v>336867</v>
      </c>
      <c r="H417" s="2">
        <v>319990</v>
      </c>
    </row>
    <row r="418" spans="1:8">
      <c r="A418" t="s">
        <v>1123</v>
      </c>
      <c r="B418" t="s">
        <v>131</v>
      </c>
      <c r="C418" s="1" t="s">
        <v>330</v>
      </c>
      <c r="D418" t="s">
        <v>1402</v>
      </c>
      <c r="E418" s="2">
        <v>52713.919999999998</v>
      </c>
      <c r="F418" s="2">
        <v>52713.920000000006</v>
      </c>
      <c r="G418" s="2">
        <v>52713.919999999998</v>
      </c>
      <c r="H418" s="2">
        <v>52713.920000000006</v>
      </c>
    </row>
    <row r="419" spans="1:8">
      <c r="A419" t="s">
        <v>1124</v>
      </c>
      <c r="B419" t="s">
        <v>33</v>
      </c>
      <c r="C419" s="1" t="s">
        <v>32</v>
      </c>
      <c r="D419" t="s">
        <v>1403</v>
      </c>
      <c r="E419" s="2">
        <v>59025.32</v>
      </c>
      <c r="F419" s="2">
        <v>59025.32</v>
      </c>
      <c r="G419" s="2">
        <v>59025.32</v>
      </c>
      <c r="H419" s="2">
        <v>59025.32</v>
      </c>
    </row>
    <row r="420" spans="1:8">
      <c r="A420" t="s">
        <v>1125</v>
      </c>
      <c r="B420" t="s">
        <v>336</v>
      </c>
      <c r="C420" s="1" t="s">
        <v>335</v>
      </c>
      <c r="D420" t="s">
        <v>1404</v>
      </c>
      <c r="E420" s="2">
        <v>775920.48999999976</v>
      </c>
      <c r="F420" s="2">
        <v>775920.49</v>
      </c>
      <c r="G420" s="2">
        <v>775920.48999999976</v>
      </c>
      <c r="H420" s="2">
        <v>775920.49</v>
      </c>
    </row>
    <row r="421" spans="1:8">
      <c r="A421" t="s">
        <v>1126</v>
      </c>
      <c r="B421" t="s">
        <v>111</v>
      </c>
      <c r="C421" s="1" t="s">
        <v>110</v>
      </c>
      <c r="D421" t="s">
        <v>1405</v>
      </c>
      <c r="E421" s="2">
        <v>427083.32999999996</v>
      </c>
      <c r="F421" s="2">
        <v>377420.76000000007</v>
      </c>
      <c r="G421" s="2">
        <v>427083.32999999996</v>
      </c>
      <c r="H421" s="2">
        <v>377420.76000000007</v>
      </c>
    </row>
    <row r="422" spans="1:8">
      <c r="A422" t="s">
        <v>1127</v>
      </c>
      <c r="B422" t="s">
        <v>111</v>
      </c>
      <c r="C422" s="1" t="s">
        <v>331</v>
      </c>
      <c r="D422" t="s">
        <v>1406</v>
      </c>
      <c r="E422" s="2">
        <v>42894.029999999992</v>
      </c>
      <c r="F422" s="2">
        <v>42894.030000000006</v>
      </c>
      <c r="G422" s="2">
        <v>42894.029999999992</v>
      </c>
      <c r="H422" s="2">
        <v>42894.030000000006</v>
      </c>
    </row>
    <row r="423" spans="1:8">
      <c r="A423" t="s">
        <v>1128</v>
      </c>
      <c r="B423" t="s">
        <v>69</v>
      </c>
      <c r="C423" s="1" t="s">
        <v>68</v>
      </c>
      <c r="D423" t="s">
        <v>1407</v>
      </c>
      <c r="E423" s="2">
        <v>32401.3</v>
      </c>
      <c r="F423" s="2">
        <v>32401.3</v>
      </c>
      <c r="G423" s="2">
        <v>32401.3</v>
      </c>
      <c r="H423" s="2">
        <v>32401.3</v>
      </c>
    </row>
    <row r="424" spans="1:8">
      <c r="A424" t="s">
        <v>1129</v>
      </c>
      <c r="B424" t="s">
        <v>69</v>
      </c>
      <c r="C424" s="1" t="s">
        <v>311</v>
      </c>
      <c r="D424" t="s">
        <v>1407</v>
      </c>
      <c r="E424" s="2">
        <v>76986</v>
      </c>
      <c r="F424" s="2">
        <v>44280</v>
      </c>
      <c r="G424" s="2">
        <v>76986</v>
      </c>
      <c r="H424" s="2">
        <v>44280</v>
      </c>
    </row>
    <row r="425" spans="1:8">
      <c r="A425" t="s">
        <v>1130</v>
      </c>
      <c r="B425" t="s">
        <v>69</v>
      </c>
      <c r="C425" s="1" t="s">
        <v>289</v>
      </c>
      <c r="D425" t="s">
        <v>1407</v>
      </c>
      <c r="E425" s="2">
        <v>119449.45000000001</v>
      </c>
      <c r="F425" s="2">
        <v>107529.45</v>
      </c>
      <c r="G425" s="2">
        <v>119449.45000000001</v>
      </c>
      <c r="H425" s="2">
        <v>107529.45</v>
      </c>
    </row>
    <row r="426" spans="1:8">
      <c r="A426" t="s">
        <v>1131</v>
      </c>
      <c r="B426" t="s">
        <v>67</v>
      </c>
      <c r="C426" s="1" t="s">
        <v>66</v>
      </c>
      <c r="D426" t="s">
        <v>1408</v>
      </c>
      <c r="E426" s="2">
        <v>34920.699999999997</v>
      </c>
      <c r="F426" s="2">
        <v>34920.699999999997</v>
      </c>
      <c r="G426" s="2">
        <v>34920.699999999997</v>
      </c>
      <c r="H426" s="2">
        <v>34920.699999999997</v>
      </c>
    </row>
    <row r="427" spans="1:8">
      <c r="A427" t="s">
        <v>1132</v>
      </c>
      <c r="B427" t="s">
        <v>78</v>
      </c>
      <c r="C427" s="1" t="s">
        <v>77</v>
      </c>
      <c r="D427" t="s">
        <v>1409</v>
      </c>
      <c r="E427" s="2">
        <v>70873.119999999995</v>
      </c>
      <c r="F427" s="2">
        <v>70873.119999999995</v>
      </c>
      <c r="G427" s="2">
        <v>70873.119999999995</v>
      </c>
      <c r="H427" s="2">
        <v>70873.119999999995</v>
      </c>
    </row>
    <row r="428" spans="1:8">
      <c r="A428" t="s">
        <v>1133</v>
      </c>
      <c r="B428" t="s">
        <v>320</v>
      </c>
      <c r="C428" s="1" t="s">
        <v>319</v>
      </c>
      <c r="D428" t="s">
        <v>1410</v>
      </c>
      <c r="E428" s="2">
        <v>42162.78</v>
      </c>
      <c r="F428" s="2">
        <v>42162.780000000006</v>
      </c>
      <c r="G428" s="2">
        <v>42162.78</v>
      </c>
      <c r="H428" s="2">
        <v>42162.780000000006</v>
      </c>
    </row>
    <row r="429" spans="1:8">
      <c r="A429" t="s">
        <v>1134</v>
      </c>
      <c r="B429" t="s">
        <v>316</v>
      </c>
      <c r="C429" s="1" t="s">
        <v>315</v>
      </c>
      <c r="D429" t="s">
        <v>1410</v>
      </c>
      <c r="E429" s="2">
        <v>31354.28</v>
      </c>
      <c r="F429" s="2">
        <v>31354.28</v>
      </c>
      <c r="G429" s="2">
        <v>31354.28</v>
      </c>
      <c r="H429" s="2">
        <v>31354.28</v>
      </c>
    </row>
    <row r="430" spans="1:8">
      <c r="A430" t="s">
        <v>1135</v>
      </c>
      <c r="B430" t="s">
        <v>229</v>
      </c>
      <c r="C430" s="1" t="s">
        <v>228</v>
      </c>
      <c r="D430" t="s">
        <v>1411</v>
      </c>
      <c r="E430" s="2">
        <v>160683.08999999997</v>
      </c>
      <c r="F430" s="2">
        <v>155016.57999999999</v>
      </c>
      <c r="G430" s="2">
        <v>162806.08999999997</v>
      </c>
      <c r="H430" s="2">
        <v>155016.57999999999</v>
      </c>
    </row>
    <row r="431" spans="1:8">
      <c r="A431" t="s">
        <v>1136</v>
      </c>
      <c r="B431" t="s">
        <v>76</v>
      </c>
      <c r="C431" s="1" t="s">
        <v>75</v>
      </c>
      <c r="D431" t="s">
        <v>1412</v>
      </c>
      <c r="E431" s="2">
        <v>41531.300000000003</v>
      </c>
      <c r="F431" s="2">
        <v>41531.299999999996</v>
      </c>
      <c r="G431" s="2">
        <v>41531.300000000003</v>
      </c>
      <c r="H431" s="2">
        <v>41531.299999999996</v>
      </c>
    </row>
    <row r="432" spans="1:8">
      <c r="A432" t="s">
        <v>1137</v>
      </c>
      <c r="B432" t="s">
        <v>322</v>
      </c>
      <c r="C432" s="1" t="s">
        <v>321</v>
      </c>
      <c r="D432" t="s">
        <v>1413</v>
      </c>
      <c r="E432" s="2">
        <v>15305.46</v>
      </c>
      <c r="F432" s="2">
        <v>15305.46</v>
      </c>
      <c r="G432" s="2">
        <v>15305.46</v>
      </c>
      <c r="H432" s="2">
        <v>15305.46</v>
      </c>
    </row>
    <row r="433" spans="1:8">
      <c r="A433" t="s">
        <v>1138</v>
      </c>
      <c r="B433" t="s">
        <v>39</v>
      </c>
      <c r="C433" s="1" t="s">
        <v>38</v>
      </c>
      <c r="D433" t="s">
        <v>1414</v>
      </c>
      <c r="E433" s="2">
        <v>42648.47</v>
      </c>
      <c r="F433" s="2">
        <v>42648.469999999994</v>
      </c>
      <c r="G433" s="2">
        <v>42648.47</v>
      </c>
      <c r="H433" s="2">
        <v>42648.469999999994</v>
      </c>
    </row>
    <row r="434" spans="1:8">
      <c r="A434" t="s">
        <v>1139</v>
      </c>
      <c r="B434" t="s">
        <v>448</v>
      </c>
      <c r="C434" s="1" t="s">
        <v>447</v>
      </c>
      <c r="D434" t="s">
        <v>1415</v>
      </c>
      <c r="E434" s="2">
        <v>59388</v>
      </c>
      <c r="F434" s="2">
        <v>59388</v>
      </c>
      <c r="G434" s="2">
        <v>59388</v>
      </c>
      <c r="H434" s="2">
        <v>59388</v>
      </c>
    </row>
    <row r="435" spans="1:8">
      <c r="A435" t="s">
        <v>1140</v>
      </c>
      <c r="B435" t="s">
        <v>15</v>
      </c>
      <c r="C435" s="1" t="s">
        <v>218</v>
      </c>
      <c r="D435" t="s">
        <v>1416</v>
      </c>
      <c r="E435" s="2">
        <v>549226.47000000009</v>
      </c>
      <c r="F435" s="2">
        <v>549226.47</v>
      </c>
      <c r="G435" s="2">
        <v>549226.47000000009</v>
      </c>
      <c r="H435" s="2">
        <v>549226.47</v>
      </c>
    </row>
    <row r="436" spans="1:8">
      <c r="A436" t="s">
        <v>1141</v>
      </c>
      <c r="B436" t="s">
        <v>15</v>
      </c>
      <c r="C436" s="1" t="s">
        <v>14</v>
      </c>
      <c r="D436" t="s">
        <v>1417</v>
      </c>
      <c r="E436" s="2">
        <v>569926</v>
      </c>
      <c r="F436" s="2">
        <v>569926</v>
      </c>
      <c r="G436" s="2">
        <v>569926</v>
      </c>
      <c r="H436" s="2">
        <v>569926</v>
      </c>
    </row>
    <row r="437" spans="1:8">
      <c r="A437" t="s">
        <v>1142</v>
      </c>
      <c r="B437" t="s">
        <v>249</v>
      </c>
      <c r="C437" s="1" t="s">
        <v>248</v>
      </c>
      <c r="D437" t="s">
        <v>1418</v>
      </c>
      <c r="E437" s="2">
        <v>411961.46000000008</v>
      </c>
      <c r="F437" s="2">
        <v>411961.45999999996</v>
      </c>
      <c r="G437" s="2">
        <v>411961.46000000008</v>
      </c>
      <c r="H437" s="2">
        <v>411961.45999999996</v>
      </c>
    </row>
    <row r="438" spans="1:8">
      <c r="A438" t="s">
        <v>1143</v>
      </c>
      <c r="B438" t="s">
        <v>60</v>
      </c>
      <c r="C438" s="1" t="s">
        <v>59</v>
      </c>
      <c r="D438" t="s">
        <v>1419</v>
      </c>
      <c r="E438" s="2">
        <v>655646.64999999991</v>
      </c>
      <c r="F438" s="2">
        <v>655646.65000000014</v>
      </c>
      <c r="G438" s="2">
        <v>655646.64999999991</v>
      </c>
      <c r="H438" s="2">
        <v>655646.65000000014</v>
      </c>
    </row>
    <row r="439" spans="1:8">
      <c r="A439" t="s">
        <v>1144</v>
      </c>
      <c r="B439" t="s">
        <v>647</v>
      </c>
      <c r="C439" s="1" t="s">
        <v>646</v>
      </c>
      <c r="D439" t="s">
        <v>1426</v>
      </c>
      <c r="E439" s="2">
        <v>373068</v>
      </c>
      <c r="F439" s="2">
        <v>35832</v>
      </c>
      <c r="G439" s="2">
        <v>373068</v>
      </c>
      <c r="H439" s="2">
        <v>35832</v>
      </c>
    </row>
    <row r="440" spans="1:8">
      <c r="E440" s="4">
        <f>SUM(E7:E439)</f>
        <v>200709276.64000008</v>
      </c>
      <c r="F440" s="4">
        <f>SUM(F7:F439)</f>
        <v>148118743.18000016</v>
      </c>
      <c r="G440" s="4">
        <f>SUM(G7:G439)</f>
        <v>200085871.99000016</v>
      </c>
      <c r="H440" s="4">
        <f>SUM(H7:H439)</f>
        <v>150737456.56000012</v>
      </c>
    </row>
    <row r="441" spans="1:8">
      <c r="F441" s="2"/>
    </row>
    <row r="442" spans="1:8">
      <c r="F442" s="2"/>
    </row>
    <row r="443" spans="1:8">
      <c r="E443" s="2"/>
      <c r="F443" s="2"/>
      <c r="G443" s="2"/>
      <c r="H443" s="2"/>
    </row>
  </sheetData>
  <pageMargins left="0.45" right="0.45" top="0.5" bottom="0.5" header="0.3" footer="0.3"/>
  <pageSetup scale="74" orientation="portrait" r:id="rId1"/>
  <colBreaks count="1" manualBreakCount="1">
    <brk id="6" max="43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As of 11302012</vt:lpstr>
      <vt:lpstr>09302012</vt:lpstr>
      <vt:lpstr>06302012</vt:lpstr>
      <vt:lpstr>03312012</vt:lpstr>
      <vt:lpstr>As of 01272012</vt:lpstr>
      <vt:lpstr>Original</vt:lpstr>
      <vt:lpstr>'03312012'!Print_Area</vt:lpstr>
      <vt:lpstr>'06302012'!Print_Area</vt:lpstr>
      <vt:lpstr>'09302012'!Print_Area</vt:lpstr>
      <vt:lpstr>'As of 01272012'!Print_Area</vt:lpstr>
      <vt:lpstr>Original!Print_Area</vt:lpstr>
      <vt:lpstr>'09302012'!Print_Titles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 Sullivan</dc:creator>
  <cp:lastModifiedBy>DakiaByrd</cp:lastModifiedBy>
  <cp:lastPrinted>2012-10-09T03:03:08Z</cp:lastPrinted>
  <dcterms:created xsi:type="dcterms:W3CDTF">2011-09-22T15:40:12Z</dcterms:created>
  <dcterms:modified xsi:type="dcterms:W3CDTF">2013-01-23T21:27:45Z</dcterms:modified>
</cp:coreProperties>
</file>