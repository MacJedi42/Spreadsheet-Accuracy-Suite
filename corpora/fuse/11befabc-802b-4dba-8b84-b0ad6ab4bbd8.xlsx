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5755" windowHeight="12015"/>
  </bookViews>
  <sheets>
    <sheet name="Staff Monitoring Ratio" sheetId="1" r:id="rId1"/>
  </sheets>
  <definedNames>
    <definedName name="_xlnm.Print_Area" localSheetId="0">'Staff Monitoring Ratio'!$A$1:$I$17</definedName>
    <definedName name="TitleRegion1.a2.i14.1">'Staff Monitoring Ratio'!$A$2</definedName>
  </definedNames>
  <calcPr calcId="145621"/>
</workbook>
</file>

<file path=xl/calcChain.xml><?xml version="1.0" encoding="utf-8"?>
<calcChain xmlns="http://schemas.openxmlformats.org/spreadsheetml/2006/main">
  <c r="G14" i="1" l="1"/>
  <c r="C14" i="1"/>
  <c r="H14" i="1"/>
  <c r="F14" i="1" l="1"/>
  <c r="E14" i="1"/>
  <c r="D14" i="1"/>
  <c r="I13" i="1"/>
  <c r="I12" i="1"/>
  <c r="I11" i="1"/>
  <c r="I10" i="1"/>
  <c r="I9" i="1"/>
  <c r="I8" i="1"/>
  <c r="I7" i="1"/>
  <c r="I6" i="1"/>
  <c r="I5" i="1"/>
  <c r="I4" i="1"/>
  <c r="I3" i="1"/>
  <c r="I14" i="1" l="1"/>
  <c r="G16" i="1" s="1"/>
</calcChain>
</file>

<file path=xl/sharedStrings.xml><?xml version="1.0" encoding="utf-8"?>
<sst xmlns="http://schemas.openxmlformats.org/spreadsheetml/2006/main" count="16" uniqueCount="16">
  <si>
    <t>Staff name</t>
  </si>
  <si>
    <t>Job title (indicate if an active provider)</t>
  </si>
  <si>
    <t>Total working days per year</t>
  </si>
  <si>
    <t>Total anticipated monitoring miles for the year</t>
  </si>
  <si>
    <t>Number of homes with language/literacy barriers needing accommodations</t>
  </si>
  <si>
    <t>Total number of homes assigned</t>
  </si>
  <si>
    <t>CACFP FTE (consistent with budget)</t>
  </si>
  <si>
    <t>Monitoring function percentage. Enter decimal format (.50=50%)</t>
  </si>
  <si>
    <t>Monitoring FTE</t>
  </si>
  <si>
    <t>Totals</t>
  </si>
  <si>
    <t>Highest number of claiming homes during current federal fiscal year</t>
  </si>
  <si>
    <t>Divide highest number of claiming homes by total monitoring FTE = staffing ratio</t>
  </si>
  <si>
    <t>Homes per FTE</t>
  </si>
  <si>
    <t>Sponsors must illustrate that they employ the equivalent of one full time staff person for each 50-150 day care homes. 7CFR 226.16(b)(1)</t>
  </si>
  <si>
    <t>End of worksheet</t>
  </si>
  <si>
    <t>Record each staff person’s name whose job description contains monitoring functions. The job description must identify the duties and specific percentage of time spent on monitoring functions.  (Note: staff time for the annual update of enrollment forms may also be included in the calculation of monitoring functions.) Record their job title and their FTE (full time equivalent) as a number (1.0 FTE = 40 hrs/week; 0.50 FTE = 20 hrs/week).  Record the percentage of their job spent on monitoring functions (record in decimal format: if 50%, record as 0.50).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</si>
</sst>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 indent="15"/>
    </xf>
    <xf numFmtId="0" fontId="5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/>
    <xf numFmtId="0" fontId="7" fillId="2" borderId="6" xfId="0" applyFont="1" applyFill="1" applyBorder="1" applyAlignment="1">
      <alignment horizontal="center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Continuous" wrapText="1"/>
    </xf>
    <xf numFmtId="0" fontId="2" fillId="0" borderId="0" xfId="0" applyFont="1" applyAlignment="1">
      <alignment horizontal="centerContinuous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8" fillId="0" borderId="2" xfId="0" applyFont="1" applyBorder="1" applyAlignment="1" applyProtection="1">
      <alignment horizontal="left" vertical="top" wrapText="1"/>
      <protection locked="0"/>
    </xf>
    <xf numFmtId="0" fontId="8" fillId="0" borderId="2" xfId="0" applyFont="1" applyBorder="1" applyAlignment="1" applyProtection="1">
      <alignment horizontal="center" vertical="top" wrapText="1"/>
      <protection locked="0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 applyProtection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5" fillId="0" borderId="6" xfId="0" applyFont="1" applyBorder="1"/>
  </cellXfs>
  <cellStyles count="1">
    <cellStyle name="Normal" xfId="0" builtinId="0"/>
  </cellStyles>
  <dxfs count="1">
    <dxf>
      <numFmt numFmtId="164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21"/>
  <sheetViews>
    <sheetView showZeros="0" tabSelected="1" zoomScaleNormal="100" workbookViewId="0"/>
  </sheetViews>
  <sheetFormatPr defaultColWidth="0" defaultRowHeight="15" zeroHeight="1" x14ac:dyDescent="0.25"/>
  <cols>
    <col min="1" max="1" width="34.5703125" customWidth="1"/>
    <col min="2" max="2" width="20.42578125" customWidth="1"/>
    <col min="3" max="3" width="13.7109375" customWidth="1"/>
    <col min="4" max="4" width="15.28515625" customWidth="1"/>
    <col min="5" max="5" width="17.85546875" customWidth="1"/>
    <col min="6" max="6" width="11.85546875" customWidth="1"/>
    <col min="7" max="7" width="12" customWidth="1"/>
    <col min="8" max="8" width="16.28515625" customWidth="1"/>
    <col min="9" max="9" width="13.140625" customWidth="1"/>
    <col min="13" max="990" width="9.140625" hidden="1"/>
    <col min="1170" max="16380" width="9.140625" hidden="1"/>
    <col min="16381" max="16381" width="6.28515625" hidden="1" customWidth="1"/>
    <col min="16382" max="16382" width="4.140625" hidden="1" customWidth="1"/>
    <col min="16383" max="16383" width="3.5703125" hidden="1" customWidth="1"/>
    <col min="16384" max="16384" width="0.140625" customWidth="1"/>
  </cols>
  <sheetData>
    <row r="1" spans="1:9" ht="59.25" thickBot="1" x14ac:dyDescent="0.35">
      <c r="A1" s="16" t="s">
        <v>15</v>
      </c>
      <c r="B1" s="17"/>
      <c r="C1" s="17"/>
      <c r="D1" s="17"/>
      <c r="E1" s="17"/>
      <c r="F1" s="17"/>
      <c r="G1" s="17"/>
      <c r="H1" s="17"/>
      <c r="I1" s="17"/>
    </row>
    <row r="2" spans="1:9" ht="105.75" thickBot="1" x14ac:dyDescent="0.3">
      <c r="A2" s="18" t="s">
        <v>0</v>
      </c>
      <c r="B2" s="19" t="s">
        <v>1</v>
      </c>
      <c r="C2" s="19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</row>
    <row r="3" spans="1:9" ht="15.75" thickBot="1" x14ac:dyDescent="0.3">
      <c r="A3" s="20"/>
      <c r="B3" s="21"/>
      <c r="C3" s="22"/>
      <c r="D3" s="22"/>
      <c r="E3" s="22"/>
      <c r="F3" s="22"/>
      <c r="G3" s="22"/>
      <c r="H3" s="22"/>
      <c r="I3" s="8">
        <f t="shared" ref="I3:I12" si="0">H3*G3</f>
        <v>0</v>
      </c>
    </row>
    <row r="4" spans="1:9" ht="15.75" thickBot="1" x14ac:dyDescent="0.3">
      <c r="A4" s="20"/>
      <c r="B4" s="21"/>
      <c r="C4" s="22"/>
      <c r="D4" s="22"/>
      <c r="E4" s="22"/>
      <c r="F4" s="22"/>
      <c r="G4" s="22"/>
      <c r="H4" s="22"/>
      <c r="I4" s="8">
        <f t="shared" si="0"/>
        <v>0</v>
      </c>
    </row>
    <row r="5" spans="1:9" ht="15.75" thickBot="1" x14ac:dyDescent="0.3">
      <c r="A5" s="20"/>
      <c r="B5" s="21"/>
      <c r="C5" s="22"/>
      <c r="D5" s="22"/>
      <c r="E5" s="22"/>
      <c r="F5" s="22"/>
      <c r="G5" s="22"/>
      <c r="H5" s="22"/>
      <c r="I5" s="8">
        <f t="shared" si="0"/>
        <v>0</v>
      </c>
    </row>
    <row r="6" spans="1:9" ht="15.75" thickBot="1" x14ac:dyDescent="0.3">
      <c r="A6" s="20"/>
      <c r="B6" s="21"/>
      <c r="C6" s="22"/>
      <c r="D6" s="22"/>
      <c r="E6" s="22"/>
      <c r="F6" s="22"/>
      <c r="G6" s="22"/>
      <c r="H6" s="22"/>
      <c r="I6" s="8">
        <f t="shared" si="0"/>
        <v>0</v>
      </c>
    </row>
    <row r="7" spans="1:9" ht="15.75" thickBot="1" x14ac:dyDescent="0.3">
      <c r="A7" s="20"/>
      <c r="B7" s="21"/>
      <c r="C7" s="22"/>
      <c r="D7" s="22"/>
      <c r="E7" s="22"/>
      <c r="F7" s="22"/>
      <c r="G7" s="22"/>
      <c r="H7" s="22"/>
      <c r="I7" s="8">
        <f t="shared" si="0"/>
        <v>0</v>
      </c>
    </row>
    <row r="8" spans="1:9" ht="15.75" thickBot="1" x14ac:dyDescent="0.3">
      <c r="A8" s="20"/>
      <c r="B8" s="21"/>
      <c r="C8" s="22"/>
      <c r="D8" s="22"/>
      <c r="E8" s="22"/>
      <c r="F8" s="22"/>
      <c r="G8" s="22"/>
      <c r="H8" s="22"/>
      <c r="I8" s="8">
        <f t="shared" si="0"/>
        <v>0</v>
      </c>
    </row>
    <row r="9" spans="1:9" ht="15.75" thickBot="1" x14ac:dyDescent="0.3">
      <c r="A9" s="20"/>
      <c r="B9" s="21"/>
      <c r="C9" s="22"/>
      <c r="D9" s="22"/>
      <c r="E9" s="22"/>
      <c r="F9" s="22"/>
      <c r="G9" s="22"/>
      <c r="H9" s="22"/>
      <c r="I9" s="8">
        <f t="shared" si="0"/>
        <v>0</v>
      </c>
    </row>
    <row r="10" spans="1:9" ht="15.75" thickBot="1" x14ac:dyDescent="0.3">
      <c r="A10" s="20"/>
      <c r="B10" s="21"/>
      <c r="C10" s="22"/>
      <c r="D10" s="22"/>
      <c r="E10" s="22"/>
      <c r="F10" s="22"/>
      <c r="G10" s="22"/>
      <c r="H10" s="22"/>
      <c r="I10" s="8">
        <f t="shared" si="0"/>
        <v>0</v>
      </c>
    </row>
    <row r="11" spans="1:9" ht="15.75" thickBot="1" x14ac:dyDescent="0.3">
      <c r="A11" s="20"/>
      <c r="B11" s="21"/>
      <c r="C11" s="22"/>
      <c r="D11" s="22"/>
      <c r="E11" s="22"/>
      <c r="F11" s="22"/>
      <c r="G11" s="22"/>
      <c r="H11" s="22"/>
      <c r="I11" s="8">
        <f t="shared" si="0"/>
        <v>0</v>
      </c>
    </row>
    <row r="12" spans="1:9" ht="15.75" thickBot="1" x14ac:dyDescent="0.3">
      <c r="A12" s="20"/>
      <c r="B12" s="21"/>
      <c r="C12" s="22"/>
      <c r="D12" s="22"/>
      <c r="E12" s="22"/>
      <c r="F12" s="22"/>
      <c r="G12" s="22"/>
      <c r="H12" s="22"/>
      <c r="I12" s="8">
        <f t="shared" si="0"/>
        <v>0</v>
      </c>
    </row>
    <row r="13" spans="1:9" ht="15.75" thickBot="1" x14ac:dyDescent="0.3">
      <c r="A13" s="20"/>
      <c r="B13" s="21"/>
      <c r="C13" s="22"/>
      <c r="D13" s="22"/>
      <c r="E13" s="22"/>
      <c r="F13" s="22"/>
      <c r="G13" s="22"/>
      <c r="H13" s="22"/>
      <c r="I13" s="9">
        <f>H13*G13</f>
        <v>0</v>
      </c>
    </row>
    <row r="14" spans="1:9" ht="16.5" thickTop="1" thickBot="1" x14ac:dyDescent="0.3">
      <c r="A14" s="23" t="s">
        <v>9</v>
      </c>
      <c r="B14" s="24"/>
      <c r="C14" s="24">
        <f>SUM(C3:C13)</f>
        <v>0</v>
      </c>
      <c r="D14" s="24">
        <f>SUM(D3:D13)</f>
        <v>0</v>
      </c>
      <c r="E14" s="24">
        <f>SUM(E3:E13)</f>
        <v>0</v>
      </c>
      <c r="F14" s="25">
        <f>SUM(F3:F13)</f>
        <v>0</v>
      </c>
      <c r="G14" s="24">
        <f>SUM(G3:G13)</f>
        <v>0</v>
      </c>
      <c r="H14" s="26">
        <f>SUM(H3:H13)</f>
        <v>0</v>
      </c>
      <c r="I14" s="10">
        <f>SUM(I3:I13)</f>
        <v>0</v>
      </c>
    </row>
    <row r="15" spans="1:9" ht="16.5" thickBot="1" x14ac:dyDescent="0.3">
      <c r="A15" s="11" t="s">
        <v>10</v>
      </c>
      <c r="B15" s="4"/>
      <c r="C15" s="4"/>
      <c r="D15" s="1"/>
      <c r="E15" s="1"/>
      <c r="F15" s="5"/>
      <c r="G15" s="15"/>
      <c r="H15" s="1"/>
      <c r="I15" s="1"/>
    </row>
    <row r="16" spans="1:9" ht="16.5" thickBot="1" x14ac:dyDescent="0.3">
      <c r="A16" s="11" t="s">
        <v>11</v>
      </c>
      <c r="B16" s="6"/>
      <c r="C16" s="6"/>
      <c r="D16" s="3"/>
      <c r="E16" s="3"/>
      <c r="F16" s="7"/>
      <c r="G16" s="14">
        <f>IFERROR(G15/I14,0)</f>
        <v>0</v>
      </c>
      <c r="H16" s="12" t="s">
        <v>12</v>
      </c>
      <c r="I16" s="27"/>
    </row>
    <row r="17" spans="1:9" x14ac:dyDescent="0.25">
      <c r="A17" s="2" t="s">
        <v>13</v>
      </c>
      <c r="B17" s="2"/>
      <c r="C17" s="2"/>
      <c r="D17" s="2"/>
      <c r="E17" s="2"/>
      <c r="F17" s="2"/>
      <c r="G17" s="2"/>
      <c r="H17" s="2"/>
      <c r="I17" s="2"/>
    </row>
    <row r="18" spans="1:9" hidden="1" x14ac:dyDescent="0.25">
      <c r="A18" s="13" t="s">
        <v>14</v>
      </c>
    </row>
    <row r="19" spans="1:9" hidden="1" x14ac:dyDescent="0.25"/>
    <row r="20" spans="1:9" hidden="1" x14ac:dyDescent="0.25"/>
    <row r="21" spans="1:9" hidden="1" x14ac:dyDescent="0.25"/>
  </sheetData>
  <conditionalFormatting sqref="G16">
    <cfRule type="cellIs" dxfId="0" priority="1" operator="equal">
      <formula>0</formula>
    </cfRule>
  </conditionalFormatting>
  <pageMargins left="0.45" right="0.45" top="0.5" bottom="0.25" header="0.3" footer="0.3"/>
  <pageSetup scale="83" orientation="landscape" r:id="rId1"/>
  <headerFooter>
    <oddHeader>&amp;C&amp;"Arial,Bold"&amp;14Determining Family Day Care Home Sponsor’s Monitoring Staff Ratio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Staff Monitoring Ratio</vt:lpstr>
      <vt:lpstr>'Staff Monitoring Ratio'!Print_Area</vt:lpstr>
      <vt:lpstr>TitleRegion1.a2.i14.1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Stiehl, Jacqueline</dc:creator>
  <cp:lastModifiedBy>Stiehl, Jacqueline</cp:lastModifiedBy>
  <cp:lastPrinted>2014-05-27T15:22:28Z</cp:lastPrinted>
  <dcterms:created xsi:type="dcterms:W3CDTF">2013-08-23T11:37:25Z</dcterms:created>
  <dcterms:modified xsi:type="dcterms:W3CDTF">2014-05-28T13:58:49Z</dcterms:modified>
</cp:coreProperties>
</file>