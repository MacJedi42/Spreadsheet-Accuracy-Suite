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875" yWindow="15" windowWidth="7500" windowHeight="8310" activeTab="1"/>
  </bookViews>
  <sheets>
    <sheet name="2011-12" sheetId="17" r:id="rId1"/>
    <sheet name="2010-11" sheetId="16" r:id="rId2"/>
    <sheet name="2009-10" sheetId="15" r:id="rId3"/>
    <sheet name="2008-09" sheetId="14" r:id="rId4"/>
    <sheet name="2007-08" sheetId="13" r:id="rId5"/>
    <sheet name="2006-07" sheetId="12" r:id="rId6"/>
    <sheet name="2005-06" sheetId="11" r:id="rId7"/>
    <sheet name="2004-05" sheetId="10" r:id="rId8"/>
    <sheet name="2003-04" sheetId="9" r:id="rId9"/>
    <sheet name="2002-03" sheetId="8" r:id="rId10"/>
    <sheet name="2001-02" sheetId="7" r:id="rId11"/>
    <sheet name="2000-01" sheetId="6" r:id="rId12"/>
    <sheet name="1999-00" sheetId="5" r:id="rId13"/>
    <sheet name="1998-99" sheetId="4" r:id="rId14"/>
    <sheet name="1997-98" sheetId="3" r:id="rId15"/>
    <sheet name="1996-97" sheetId="2" r:id="rId16"/>
    <sheet name="1995-96" sheetId="1" r:id="rId17"/>
  </sheets>
  <definedNames>
    <definedName name="_xlnm.Print_Titles" localSheetId="16">'1995-96'!$5:$6</definedName>
    <definedName name="_xlnm.Print_Titles" localSheetId="15">'1996-97'!$5:$6</definedName>
    <definedName name="_xlnm.Print_Titles" localSheetId="14">'1997-98'!$5:$6</definedName>
    <definedName name="_xlnm.Print_Titles" localSheetId="13">'1998-99'!$5:$6</definedName>
    <definedName name="_xlnm.Print_Titles" localSheetId="12">'1999-00'!$5:$6</definedName>
    <definedName name="_xlnm.Print_Titles" localSheetId="11">'2000-01'!$5:$6</definedName>
    <definedName name="_xlnm.Print_Titles" localSheetId="10">'2001-02'!$5:$6</definedName>
    <definedName name="_xlnm.Print_Titles" localSheetId="9">'2002-03'!$5:$6</definedName>
    <definedName name="_xlnm.Print_Titles" localSheetId="8">'2003-04'!$5:$6</definedName>
    <definedName name="_xlnm.Print_Titles" localSheetId="7">'2004-05'!$5:$6</definedName>
    <definedName name="_xlnm.Print_Titles" localSheetId="6">'2005-06'!$5:$6</definedName>
    <definedName name="_xlnm.Print_Titles" localSheetId="5">'2006-07'!$5:$6</definedName>
    <definedName name="_xlnm.Print_Titles" localSheetId="4">'2007-08'!$5:$6</definedName>
    <definedName name="_xlnm.Print_Titles" localSheetId="3">'2008-09'!$5:$6</definedName>
    <definedName name="_xlnm.Print_Titles" localSheetId="2">'2009-10'!$5:$6</definedName>
    <definedName name="_xlnm.Print_Titles" localSheetId="1">'2010-11'!$5:$6</definedName>
    <definedName name="_xlnm.Print_Titles" localSheetId="0">'2011-12'!$5:$6</definedName>
  </definedNames>
  <calcPr calcId="145621"/>
</workbook>
</file>

<file path=xl/calcChain.xml><?xml version="1.0" encoding="utf-8"?>
<calcChain xmlns="http://schemas.openxmlformats.org/spreadsheetml/2006/main">
  <c r="A3" i="17" l="1"/>
  <c r="A3" i="16"/>
  <c r="A3" i="15"/>
  <c r="A3" i="14"/>
  <c r="A3" i="13"/>
  <c r="A3" i="12"/>
  <c r="A3" i="11"/>
  <c r="A3" i="10"/>
  <c r="A3" i="9"/>
  <c r="A3" i="8"/>
  <c r="A3" i="7"/>
  <c r="A3" i="6"/>
  <c r="A3" i="5"/>
  <c r="A3" i="4"/>
  <c r="A3" i="3"/>
  <c r="A3" i="2"/>
  <c r="A3" i="1"/>
  <c r="B18" i="16" l="1"/>
  <c r="B18" i="15"/>
  <c r="B18" i="14"/>
  <c r="B23" i="13"/>
  <c r="B22" i="12"/>
  <c r="B22" i="11"/>
  <c r="B22" i="10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7" i="8"/>
  <c r="B22" i="9"/>
  <c r="B22" i="7"/>
  <c r="B21" i="6"/>
  <c r="B19" i="5"/>
  <c r="B21" i="4"/>
  <c r="B21" i="3"/>
  <c r="B20" i="2"/>
  <c r="D22" i="8" l="1"/>
  <c r="B21" i="1"/>
</calcChain>
</file>

<file path=xl/sharedStrings.xml><?xml version="1.0" encoding="utf-8"?>
<sst xmlns="http://schemas.openxmlformats.org/spreadsheetml/2006/main" count="319" uniqueCount="38">
  <si>
    <t>Total</t>
  </si>
  <si>
    <t>Department</t>
  </si>
  <si>
    <t>Anthropology</t>
  </si>
  <si>
    <t>Biochemistry and Molecular Biology</t>
  </si>
  <si>
    <t>Biology</t>
  </si>
  <si>
    <t>Human Communication Science</t>
  </si>
  <si>
    <t>Medical Physics</t>
  </si>
  <si>
    <t>Pharmacology</t>
  </si>
  <si>
    <t>Physiology</t>
  </si>
  <si>
    <t>Psychology</t>
  </si>
  <si>
    <t>Intercollegiate Course</t>
  </si>
  <si>
    <t>Immunology</t>
  </si>
  <si>
    <t>Orthopaedics</t>
  </si>
  <si>
    <t>Surgery</t>
  </si>
  <si>
    <t>Full Time</t>
  </si>
  <si>
    <t>Intercalating Medical Students</t>
  </si>
  <si>
    <t>Psychiatry (I/Col)</t>
  </si>
  <si>
    <t xml:space="preserve">Anatomy and Developmental Biology </t>
  </si>
  <si>
    <t>Table D2</t>
  </si>
  <si>
    <t>Anatomy and Developmental Biology</t>
  </si>
  <si>
    <t>Psychiatry</t>
  </si>
  <si>
    <t>Royal Free Hospital School of Medicine</t>
  </si>
  <si>
    <t>Immunology and Molecular Pathology</t>
  </si>
  <si>
    <t>Medicine</t>
  </si>
  <si>
    <t>Primary Care and Population Sciences</t>
  </si>
  <si>
    <t>CHIME</t>
  </si>
  <si>
    <t>Part Time</t>
  </si>
  <si>
    <t>Infection</t>
  </si>
  <si>
    <t>Institute of Child Health</t>
  </si>
  <si>
    <t>Orthopaedics and Musculoskeletal Scienc</t>
  </si>
  <si>
    <t>Science and Technology Studies</t>
  </si>
  <si>
    <t>Division of Biosciences</t>
  </si>
  <si>
    <t>Division of Infection and Immunity</t>
  </si>
  <si>
    <t>Division of Medicine</t>
  </si>
  <si>
    <t>Division of Population Health</t>
  </si>
  <si>
    <t>Division of Psychology and Language Sci.</t>
  </si>
  <si>
    <t>Division of Surgery and Interventional Sci.</t>
  </si>
  <si>
    <t>Wellcome Trust Centre History of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</si>
</sst>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1" xfId="0" applyFont="1" applyBorder="1"/>
    <xf numFmtId="0" fontId="3" fillId="0" borderId="3" xfId="0" applyFont="1" applyBorder="1"/>
    <xf numFmtId="0" fontId="5" fillId="0" borderId="5" xfId="0" applyFont="1" applyBorder="1"/>
    <xf numFmtId="0" fontId="5" fillId="0" borderId="6" xfId="0" applyFont="1" applyBorder="1"/>
    <xf numFmtId="0" fontId="3" fillId="0" borderId="7" xfId="0" applyFont="1" applyBorder="1"/>
    <xf numFmtId="0" fontId="5" fillId="0" borderId="2" xfId="0" applyFont="1" applyBorder="1"/>
    <xf numFmtId="0" fontId="5" fillId="0" borderId="15" xfId="0" applyFont="1" applyBorder="1"/>
    <xf numFmtId="0" fontId="5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5" fillId="0" borderId="1" xfId="0" applyFont="1" applyFill="1" applyBorder="1"/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0" fillId="0" borderId="21" xfId="0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22" xfId="0" applyFont="1" applyBorder="1" applyAlignment="1">
      <alignment vertical="center"/>
    </xf>
    <xf numFmtId="0" fontId="10" fillId="0" borderId="21" xfId="0" applyFont="1" applyBorder="1" applyAlignment="1">
      <alignment horizontal="right" vertical="center"/>
    </xf>
    <xf numFmtId="0" fontId="10" fillId="0" borderId="22" xfId="0" applyFont="1" applyBorder="1" applyAlignment="1">
      <alignment horizontal="right"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horizontal="right" vertical="center"/>
    </xf>
    <xf numFmtId="0" fontId="10" fillId="0" borderId="23" xfId="0" applyFont="1" applyBorder="1" applyAlignment="1">
      <alignment vertical="center"/>
    </xf>
    <xf numFmtId="0" fontId="10" fillId="0" borderId="11" xfId="0" applyFont="1" applyBorder="1" applyAlignment="1">
      <alignment horizontal="right" vertical="center"/>
    </xf>
    <xf numFmtId="0" fontId="11" fillId="0" borderId="24" xfId="0" applyFont="1" applyBorder="1" applyAlignment="1">
      <alignment vertical="center"/>
    </xf>
    <xf numFmtId="0" fontId="11" fillId="0" borderId="7" xfId="0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6" fillId="2" borderId="13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19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5" ht="18" x14ac:dyDescent="0.25">
      <c r="A1" s="15" t="s">
        <v>18</v>
      </c>
      <c r="E1" s="16"/>
    </row>
    <row r="2" spans="1:5" x14ac:dyDescent="0.25">
      <c r="A2" s="34" t="s">
        <v>15</v>
      </c>
      <c r="B2" s="34"/>
      <c r="C2" s="34"/>
      <c r="D2" s="34"/>
      <c r="E2" s="16"/>
    </row>
    <row r="3" spans="1:5" x14ac:dyDescent="0.25">
      <c r="A3" s="28" t="str">
        <f ca="1">RIGHT(CELL("filename",A1),LEN(CELL("filename",A1))-FIND("]",CELL("filename",A1)))</f>
        <v>2011-12</v>
      </c>
      <c r="E3" s="16"/>
    </row>
    <row r="4" spans="1:5" ht="15.75" thickBot="1" x14ac:dyDescent="0.3">
      <c r="E4" s="16"/>
    </row>
    <row r="5" spans="1:5" ht="15" customHeight="1" x14ac:dyDescent="0.25">
      <c r="A5" s="29" t="s">
        <v>1</v>
      </c>
      <c r="B5" s="31" t="s">
        <v>14</v>
      </c>
      <c r="C5" s="31" t="s">
        <v>26</v>
      </c>
      <c r="D5" s="31" t="s">
        <v>26</v>
      </c>
      <c r="E5" s="16"/>
    </row>
    <row r="6" spans="1:5" ht="15.75" thickBot="1" x14ac:dyDescent="0.3">
      <c r="A6" s="30"/>
      <c r="B6" s="32"/>
      <c r="C6" s="32"/>
      <c r="D6" s="32"/>
      <c r="E6" s="16"/>
    </row>
    <row r="7" spans="1:5" x14ac:dyDescent="0.25">
      <c r="A7" s="17" t="s">
        <v>2</v>
      </c>
      <c r="B7" s="18">
        <v>6</v>
      </c>
      <c r="C7" s="19"/>
      <c r="D7" s="20">
        <v>6</v>
      </c>
      <c r="E7" s="16"/>
    </row>
    <row r="8" spans="1:5" x14ac:dyDescent="0.25">
      <c r="A8" s="17" t="s">
        <v>31</v>
      </c>
      <c r="B8" s="18">
        <v>113</v>
      </c>
      <c r="C8" s="21">
        <v>1</v>
      </c>
      <c r="D8" s="20">
        <v>114</v>
      </c>
      <c r="E8" s="16"/>
    </row>
    <row r="9" spans="1:5" x14ac:dyDescent="0.25">
      <c r="A9" s="17" t="s">
        <v>32</v>
      </c>
      <c r="B9" s="18">
        <v>15</v>
      </c>
      <c r="C9" s="19"/>
      <c r="D9" s="20">
        <v>15</v>
      </c>
      <c r="E9" s="16"/>
    </row>
    <row r="10" spans="1:5" x14ac:dyDescent="0.25">
      <c r="A10" s="17" t="s">
        <v>33</v>
      </c>
      <c r="B10" s="18">
        <v>10</v>
      </c>
      <c r="C10" s="19"/>
      <c r="D10" s="20">
        <v>10</v>
      </c>
      <c r="E10" s="16"/>
    </row>
    <row r="11" spans="1:5" x14ac:dyDescent="0.25">
      <c r="A11" s="17" t="s">
        <v>34</v>
      </c>
      <c r="B11" s="18">
        <v>10</v>
      </c>
      <c r="C11" s="19"/>
      <c r="D11" s="20">
        <v>10</v>
      </c>
      <c r="E11" s="16"/>
    </row>
    <row r="12" spans="1:5" x14ac:dyDescent="0.25">
      <c r="A12" s="17" t="s">
        <v>35</v>
      </c>
      <c r="B12" s="18">
        <v>13</v>
      </c>
      <c r="C12" s="19"/>
      <c r="D12" s="20">
        <v>13</v>
      </c>
      <c r="E12" s="16"/>
    </row>
    <row r="13" spans="1:5" x14ac:dyDescent="0.25">
      <c r="A13" s="17" t="s">
        <v>36</v>
      </c>
      <c r="B13" s="18">
        <v>28</v>
      </c>
      <c r="C13" s="19"/>
      <c r="D13" s="20">
        <v>28</v>
      </c>
      <c r="E13" s="16"/>
    </row>
    <row r="14" spans="1:5" x14ac:dyDescent="0.25">
      <c r="A14" s="17" t="s">
        <v>28</v>
      </c>
      <c r="B14" s="18">
        <v>41</v>
      </c>
      <c r="C14" s="19"/>
      <c r="D14" s="20">
        <v>41</v>
      </c>
      <c r="E14" s="16"/>
    </row>
    <row r="15" spans="1:5" x14ac:dyDescent="0.25">
      <c r="A15" s="17" t="s">
        <v>6</v>
      </c>
      <c r="B15" s="18">
        <v>15</v>
      </c>
      <c r="C15" s="19"/>
      <c r="D15" s="20">
        <v>15</v>
      </c>
      <c r="E15" s="16"/>
    </row>
    <row r="16" spans="1:5" ht="15.75" thickBot="1" x14ac:dyDescent="0.3">
      <c r="A16" s="22" t="s">
        <v>30</v>
      </c>
      <c r="B16" s="23">
        <v>4</v>
      </c>
      <c r="C16" s="24"/>
      <c r="D16" s="25">
        <v>4</v>
      </c>
      <c r="E16" s="16"/>
    </row>
    <row r="17" spans="1:5" ht="16.5" thickTop="1" thickBot="1" x14ac:dyDescent="0.3">
      <c r="A17" s="26" t="s">
        <v>0</v>
      </c>
      <c r="B17" s="27">
        <v>255</v>
      </c>
      <c r="C17" s="27">
        <v>1</v>
      </c>
      <c r="D17" s="27">
        <v>256</v>
      </c>
      <c r="E17" s="16"/>
    </row>
    <row r="19" spans="1:5" x14ac:dyDescent="0.25">
      <c r="A19" s="33"/>
      <c r="B19" s="33"/>
    </row>
  </sheetData>
  <mergeCells count="6">
    <mergeCell ref="A5:A6"/>
    <mergeCell ref="B5:B6"/>
    <mergeCell ref="A19:B19"/>
    <mergeCell ref="A2:D2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view="pageLayout" topLeftCell="A34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2010-11</v>
      </c>
      <c r="B3" s="3"/>
    </row>
    <row r="4" spans="1:2" ht="15.75" thickBot="1" x14ac:dyDescent="0.3">
      <c r="A4" s="3"/>
      <c r="B4" s="3"/>
    </row>
    <row r="5" spans="1:2" ht="15" customHeight="1" x14ac:dyDescent="0.25">
      <c r="A5" s="36" t="s">
        <v>1</v>
      </c>
      <c r="B5" s="38" t="s">
        <v>14</v>
      </c>
    </row>
    <row r="6" spans="1:2" ht="15" customHeight="1" x14ac:dyDescent="0.25">
      <c r="A6" s="37"/>
      <c r="B6" s="39"/>
    </row>
    <row r="7" spans="1:2" x14ac:dyDescent="0.25">
      <c r="A7" s="4" t="s">
        <v>2</v>
      </c>
      <c r="B7" s="6">
        <v>15</v>
      </c>
    </row>
    <row r="8" spans="1:2" x14ac:dyDescent="0.25">
      <c r="A8" s="4" t="s">
        <v>31</v>
      </c>
      <c r="B8" s="6">
        <v>112</v>
      </c>
    </row>
    <row r="9" spans="1:2" x14ac:dyDescent="0.25">
      <c r="A9" s="4" t="s">
        <v>32</v>
      </c>
      <c r="B9" s="6">
        <v>21</v>
      </c>
    </row>
    <row r="10" spans="1:2" x14ac:dyDescent="0.25">
      <c r="A10" s="4" t="s">
        <v>33</v>
      </c>
      <c r="B10" s="6">
        <v>8</v>
      </c>
    </row>
    <row r="11" spans="1:2" x14ac:dyDescent="0.25">
      <c r="A11" s="4" t="s">
        <v>34</v>
      </c>
      <c r="B11" s="6">
        <v>8</v>
      </c>
    </row>
    <row r="12" spans="1:2" x14ac:dyDescent="0.25">
      <c r="A12" s="4" t="s">
        <v>35</v>
      </c>
      <c r="B12" s="6">
        <v>28</v>
      </c>
    </row>
    <row r="13" spans="1:2" x14ac:dyDescent="0.25">
      <c r="A13" s="14" t="s">
        <v>36</v>
      </c>
      <c r="B13" s="6">
        <v>33</v>
      </c>
    </row>
    <row r="14" spans="1:2" x14ac:dyDescent="0.25">
      <c r="A14" s="4" t="s">
        <v>28</v>
      </c>
      <c r="B14" s="6">
        <v>45</v>
      </c>
    </row>
    <row r="15" spans="1:2" x14ac:dyDescent="0.25">
      <c r="A15" s="4" t="s">
        <v>6</v>
      </c>
      <c r="B15" s="6">
        <v>18</v>
      </c>
    </row>
    <row r="16" spans="1:2" x14ac:dyDescent="0.25">
      <c r="A16" s="4" t="s">
        <v>30</v>
      </c>
      <c r="B16" s="6">
        <v>6</v>
      </c>
    </row>
    <row r="17" spans="1:2" ht="15.75" thickBot="1" x14ac:dyDescent="0.3">
      <c r="A17" s="9" t="s">
        <v>37</v>
      </c>
      <c r="B17" s="7">
        <v>19</v>
      </c>
    </row>
    <row r="18" spans="1:2" ht="16.5" thickTop="1" thickBot="1" x14ac:dyDescent="0.3">
      <c r="A18" s="5" t="s">
        <v>0</v>
      </c>
      <c r="B18" s="8">
        <f>SUM(B7:B17)</f>
        <v>313</v>
      </c>
    </row>
    <row r="19" spans="1:2" x14ac:dyDescent="0.25">
      <c r="A19" s="33"/>
      <c r="B19" s="33"/>
    </row>
  </sheetData>
  <mergeCells count="4">
    <mergeCell ref="A2:B2"/>
    <mergeCell ref="A5:A6"/>
    <mergeCell ref="B5:B6"/>
    <mergeCell ref="A19:B19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2009-10</v>
      </c>
      <c r="B3" s="3"/>
    </row>
    <row r="4" spans="1:2" ht="15" customHeight="1" thickBot="1" x14ac:dyDescent="0.3">
      <c r="A4" s="3"/>
      <c r="B4" s="3"/>
    </row>
    <row r="5" spans="1:2" ht="15" customHeight="1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2</v>
      </c>
      <c r="B7" s="6">
        <v>15</v>
      </c>
    </row>
    <row r="8" spans="1:2" x14ac:dyDescent="0.25">
      <c r="A8" s="4" t="s">
        <v>31</v>
      </c>
      <c r="B8" s="6">
        <v>112</v>
      </c>
    </row>
    <row r="9" spans="1:2" x14ac:dyDescent="0.25">
      <c r="A9" s="4" t="s">
        <v>32</v>
      </c>
      <c r="B9" s="6">
        <v>21</v>
      </c>
    </row>
    <row r="10" spans="1:2" x14ac:dyDescent="0.25">
      <c r="A10" s="4" t="s">
        <v>33</v>
      </c>
      <c r="B10" s="6">
        <v>8</v>
      </c>
    </row>
    <row r="11" spans="1:2" x14ac:dyDescent="0.25">
      <c r="A11" s="4" t="s">
        <v>34</v>
      </c>
      <c r="B11" s="6">
        <v>8</v>
      </c>
    </row>
    <row r="12" spans="1:2" x14ac:dyDescent="0.25">
      <c r="A12" s="4" t="s">
        <v>35</v>
      </c>
      <c r="B12" s="6">
        <v>28</v>
      </c>
    </row>
    <row r="13" spans="1:2" x14ac:dyDescent="0.25">
      <c r="A13" s="14" t="s">
        <v>36</v>
      </c>
      <c r="B13" s="6">
        <v>33</v>
      </c>
    </row>
    <row r="14" spans="1:2" x14ac:dyDescent="0.25">
      <c r="A14" s="4" t="s">
        <v>28</v>
      </c>
      <c r="B14" s="6">
        <v>45</v>
      </c>
    </row>
    <row r="15" spans="1:2" x14ac:dyDescent="0.25">
      <c r="A15" s="4" t="s">
        <v>6</v>
      </c>
      <c r="B15" s="6">
        <v>18</v>
      </c>
    </row>
    <row r="16" spans="1:2" x14ac:dyDescent="0.25">
      <c r="A16" s="4" t="s">
        <v>30</v>
      </c>
      <c r="B16" s="6">
        <v>6</v>
      </c>
    </row>
    <row r="17" spans="1:2" ht="15.75" thickBot="1" x14ac:dyDescent="0.3">
      <c r="A17" s="9" t="s">
        <v>37</v>
      </c>
      <c r="B17" s="7">
        <v>19</v>
      </c>
    </row>
    <row r="18" spans="1:2" ht="16.5" thickTop="1" thickBot="1" x14ac:dyDescent="0.3">
      <c r="A18" s="5" t="s">
        <v>0</v>
      </c>
      <c r="B18" s="8">
        <f>SUM(B7:B17)</f>
        <v>313</v>
      </c>
    </row>
    <row r="20" spans="1:2" x14ac:dyDescent="0.25">
      <c r="A20" s="33"/>
      <c r="B20" s="33"/>
    </row>
  </sheetData>
  <mergeCells count="4">
    <mergeCell ref="A2:B2"/>
    <mergeCell ref="A5:A6"/>
    <mergeCell ref="B5:B6"/>
    <mergeCell ref="A20:B2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2008-09</v>
      </c>
      <c r="B3" s="3"/>
    </row>
    <row r="4" spans="1:2" ht="15.75" thickBot="1" x14ac:dyDescent="0.3">
      <c r="A4" s="3"/>
      <c r="B4" s="3"/>
    </row>
    <row r="5" spans="1:2" ht="15" customHeight="1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2</v>
      </c>
      <c r="B7" s="6">
        <v>10</v>
      </c>
    </row>
    <row r="8" spans="1:2" x14ac:dyDescent="0.25">
      <c r="A8" s="4" t="s">
        <v>31</v>
      </c>
      <c r="B8" s="6">
        <v>137</v>
      </c>
    </row>
    <row r="9" spans="1:2" x14ac:dyDescent="0.25">
      <c r="A9" s="4" t="s">
        <v>32</v>
      </c>
      <c r="B9" s="6">
        <v>13</v>
      </c>
    </row>
    <row r="10" spans="1:2" x14ac:dyDescent="0.25">
      <c r="A10" s="4" t="s">
        <v>33</v>
      </c>
      <c r="B10" s="6">
        <v>8</v>
      </c>
    </row>
    <row r="11" spans="1:2" x14ac:dyDescent="0.25">
      <c r="A11" s="4" t="s">
        <v>34</v>
      </c>
      <c r="B11" s="6">
        <v>11</v>
      </c>
    </row>
    <row r="12" spans="1:2" x14ac:dyDescent="0.25">
      <c r="A12" s="4" t="s">
        <v>35</v>
      </c>
      <c r="B12" s="6">
        <v>28</v>
      </c>
    </row>
    <row r="13" spans="1:2" x14ac:dyDescent="0.25">
      <c r="A13" s="14" t="s">
        <v>36</v>
      </c>
      <c r="B13" s="6">
        <v>31</v>
      </c>
    </row>
    <row r="14" spans="1:2" x14ac:dyDescent="0.25">
      <c r="A14" s="4" t="s">
        <v>28</v>
      </c>
      <c r="B14" s="6">
        <v>42</v>
      </c>
    </row>
    <row r="15" spans="1:2" x14ac:dyDescent="0.25">
      <c r="A15" s="4" t="s">
        <v>6</v>
      </c>
      <c r="B15" s="6">
        <v>19</v>
      </c>
    </row>
    <row r="16" spans="1:2" x14ac:dyDescent="0.25">
      <c r="A16" s="4" t="s">
        <v>30</v>
      </c>
      <c r="B16" s="6">
        <v>5</v>
      </c>
    </row>
    <row r="17" spans="1:2" ht="15.75" thickBot="1" x14ac:dyDescent="0.3">
      <c r="A17" s="9" t="s">
        <v>37</v>
      </c>
      <c r="B17" s="7">
        <v>21</v>
      </c>
    </row>
    <row r="18" spans="1:2" ht="16.5" thickTop="1" thickBot="1" x14ac:dyDescent="0.3">
      <c r="A18" s="5" t="s">
        <v>0</v>
      </c>
      <c r="B18" s="8">
        <f>SUM(B7:B17)</f>
        <v>325</v>
      </c>
    </row>
  </sheetData>
  <mergeCells count="3">
    <mergeCell ref="A2:B2"/>
    <mergeCell ref="A5:A6"/>
    <mergeCell ref="B5:B6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2007-08</v>
      </c>
      <c r="B3" s="3"/>
    </row>
    <row r="4" spans="1:2" ht="15.75" thickBot="1" x14ac:dyDescent="0.3">
      <c r="A4" s="3"/>
      <c r="B4" s="3"/>
    </row>
    <row r="5" spans="1:2" ht="15" customHeight="1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17</v>
      </c>
      <c r="B7" s="6">
        <v>63</v>
      </c>
    </row>
    <row r="8" spans="1:2" x14ac:dyDescent="0.25">
      <c r="A8" s="4" t="s">
        <v>2</v>
      </c>
      <c r="B8" s="6">
        <v>12</v>
      </c>
    </row>
    <row r="9" spans="1:2" x14ac:dyDescent="0.25">
      <c r="A9" s="4" t="s">
        <v>3</v>
      </c>
      <c r="B9" s="6">
        <v>5</v>
      </c>
    </row>
    <row r="10" spans="1:2" x14ac:dyDescent="0.25">
      <c r="A10" s="4" t="s">
        <v>4</v>
      </c>
      <c r="B10" s="6">
        <v>11</v>
      </c>
    </row>
    <row r="11" spans="1:2" x14ac:dyDescent="0.25">
      <c r="A11" s="4" t="s">
        <v>5</v>
      </c>
      <c r="B11" s="6">
        <v>11</v>
      </c>
    </row>
    <row r="12" spans="1:2" x14ac:dyDescent="0.25">
      <c r="A12" s="4" t="s">
        <v>22</v>
      </c>
      <c r="B12" s="6">
        <v>24</v>
      </c>
    </row>
    <row r="13" spans="1:2" x14ac:dyDescent="0.25">
      <c r="A13" s="14" t="s">
        <v>27</v>
      </c>
      <c r="B13" s="6">
        <v>10</v>
      </c>
    </row>
    <row r="14" spans="1:2" x14ac:dyDescent="0.25">
      <c r="A14" s="4" t="s">
        <v>28</v>
      </c>
      <c r="B14" s="6">
        <v>41</v>
      </c>
    </row>
    <row r="15" spans="1:2" x14ac:dyDescent="0.25">
      <c r="A15" s="4" t="s">
        <v>6</v>
      </c>
      <c r="B15" s="6">
        <v>24</v>
      </c>
    </row>
    <row r="16" spans="1:2" x14ac:dyDescent="0.25">
      <c r="A16" s="4" t="s">
        <v>23</v>
      </c>
      <c r="B16" s="6">
        <v>6</v>
      </c>
    </row>
    <row r="17" spans="1:2" x14ac:dyDescent="0.25">
      <c r="A17" s="14" t="s">
        <v>29</v>
      </c>
      <c r="B17" s="6">
        <v>21</v>
      </c>
    </row>
    <row r="18" spans="1:2" x14ac:dyDescent="0.25">
      <c r="A18" s="4" t="s">
        <v>7</v>
      </c>
      <c r="B18" s="6">
        <v>37</v>
      </c>
    </row>
    <row r="19" spans="1:2" x14ac:dyDescent="0.25">
      <c r="A19" s="4" t="s">
        <v>8</v>
      </c>
      <c r="B19" s="6">
        <v>28</v>
      </c>
    </row>
    <row r="20" spans="1:2" x14ac:dyDescent="0.25">
      <c r="A20" s="4" t="s">
        <v>24</v>
      </c>
      <c r="B20" s="6">
        <v>9</v>
      </c>
    </row>
    <row r="21" spans="1:2" x14ac:dyDescent="0.25">
      <c r="A21" s="4" t="s">
        <v>9</v>
      </c>
      <c r="B21" s="6">
        <v>24</v>
      </c>
    </row>
    <row r="22" spans="1:2" ht="15.75" thickBot="1" x14ac:dyDescent="0.3">
      <c r="A22" s="9" t="s">
        <v>30</v>
      </c>
      <c r="B22" s="7">
        <v>12</v>
      </c>
    </row>
    <row r="23" spans="1:2" ht="16.5" thickTop="1" thickBot="1" x14ac:dyDescent="0.3">
      <c r="A23" s="5" t="s">
        <v>0</v>
      </c>
      <c r="B23" s="8">
        <f>SUM(B7:B22)</f>
        <v>338</v>
      </c>
    </row>
    <row r="24" spans="1:2" x14ac:dyDescent="0.25">
      <c r="A24" s="33"/>
      <c r="B24" s="33"/>
    </row>
  </sheetData>
  <mergeCells count="4">
    <mergeCell ref="A2:B2"/>
    <mergeCell ref="A5:A6"/>
    <mergeCell ref="B5:B6"/>
    <mergeCell ref="A24:B24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2006-07</v>
      </c>
      <c r="B3" s="3"/>
    </row>
    <row r="4" spans="1:2" ht="15.75" thickBot="1" x14ac:dyDescent="0.3">
      <c r="A4" s="3"/>
      <c r="B4" s="3"/>
    </row>
    <row r="5" spans="1:2" ht="15" customHeight="1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17</v>
      </c>
      <c r="B7" s="6">
        <v>64</v>
      </c>
    </row>
    <row r="8" spans="1:2" x14ac:dyDescent="0.25">
      <c r="A8" s="4" t="s">
        <v>2</v>
      </c>
      <c r="B8" s="6">
        <v>12</v>
      </c>
    </row>
    <row r="9" spans="1:2" x14ac:dyDescent="0.25">
      <c r="A9" s="4" t="s">
        <v>3</v>
      </c>
      <c r="B9" s="6">
        <v>9</v>
      </c>
    </row>
    <row r="10" spans="1:2" x14ac:dyDescent="0.25">
      <c r="A10" s="4" t="s">
        <v>4</v>
      </c>
      <c r="B10" s="6">
        <v>7</v>
      </c>
    </row>
    <row r="11" spans="1:2" x14ac:dyDescent="0.25">
      <c r="A11" s="4" t="s">
        <v>25</v>
      </c>
      <c r="B11" s="6">
        <v>11</v>
      </c>
    </row>
    <row r="12" spans="1:2" x14ac:dyDescent="0.25">
      <c r="A12" s="4" t="s">
        <v>5</v>
      </c>
      <c r="B12" s="6">
        <v>14</v>
      </c>
    </row>
    <row r="13" spans="1:2" x14ac:dyDescent="0.25">
      <c r="A13" s="4" t="s">
        <v>22</v>
      </c>
      <c r="B13" s="6">
        <v>22</v>
      </c>
    </row>
    <row r="14" spans="1:2" x14ac:dyDescent="0.25">
      <c r="A14" s="4" t="s">
        <v>6</v>
      </c>
      <c r="B14" s="6">
        <v>16</v>
      </c>
    </row>
    <row r="15" spans="1:2" x14ac:dyDescent="0.25">
      <c r="A15" s="4" t="s">
        <v>23</v>
      </c>
      <c r="B15" s="6">
        <v>13</v>
      </c>
    </row>
    <row r="16" spans="1:2" x14ac:dyDescent="0.25">
      <c r="A16" s="4" t="s">
        <v>12</v>
      </c>
      <c r="B16" s="6">
        <v>20</v>
      </c>
    </row>
    <row r="17" spans="1:2" x14ac:dyDescent="0.25">
      <c r="A17" s="4" t="s">
        <v>7</v>
      </c>
      <c r="B17" s="6">
        <v>27</v>
      </c>
    </row>
    <row r="18" spans="1:2" x14ac:dyDescent="0.25">
      <c r="A18" s="4" t="s">
        <v>8</v>
      </c>
      <c r="B18" s="6">
        <v>52</v>
      </c>
    </row>
    <row r="19" spans="1:2" x14ac:dyDescent="0.25">
      <c r="A19" s="4" t="s">
        <v>24</v>
      </c>
      <c r="B19" s="6">
        <v>11</v>
      </c>
    </row>
    <row r="20" spans="1:2" x14ac:dyDescent="0.25">
      <c r="A20" s="4" t="s">
        <v>9</v>
      </c>
      <c r="B20" s="6">
        <v>25</v>
      </c>
    </row>
    <row r="21" spans="1:2" ht="15.75" thickBot="1" x14ac:dyDescent="0.3">
      <c r="A21" s="9" t="s">
        <v>13</v>
      </c>
      <c r="B21" s="7">
        <v>3</v>
      </c>
    </row>
    <row r="22" spans="1:2" ht="16.5" thickTop="1" thickBot="1" x14ac:dyDescent="0.3">
      <c r="A22" s="5" t="s">
        <v>0</v>
      </c>
      <c r="B22" s="8">
        <f>SUM(B7:B21)</f>
        <v>306</v>
      </c>
    </row>
    <row r="23" spans="1:2" x14ac:dyDescent="0.25">
      <c r="A23" s="33"/>
      <c r="B23" s="33"/>
    </row>
  </sheetData>
  <mergeCells count="4">
    <mergeCell ref="A2:B2"/>
    <mergeCell ref="A5:A6"/>
    <mergeCell ref="B5:B6"/>
    <mergeCell ref="A23:B2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2005-06</v>
      </c>
      <c r="B3" s="3"/>
    </row>
    <row r="4" spans="1:2" ht="15.75" thickBot="1" x14ac:dyDescent="0.3">
      <c r="A4" s="3"/>
      <c r="B4" s="3"/>
    </row>
    <row r="5" spans="1:2" ht="15" customHeight="1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17</v>
      </c>
      <c r="B7" s="6">
        <v>57</v>
      </c>
    </row>
    <row r="8" spans="1:2" x14ac:dyDescent="0.25">
      <c r="A8" s="4" t="s">
        <v>2</v>
      </c>
      <c r="B8" s="6">
        <v>13</v>
      </c>
    </row>
    <row r="9" spans="1:2" x14ac:dyDescent="0.25">
      <c r="A9" s="4" t="s">
        <v>3</v>
      </c>
      <c r="B9" s="6">
        <v>14</v>
      </c>
    </row>
    <row r="10" spans="1:2" x14ac:dyDescent="0.25">
      <c r="A10" s="4" t="s">
        <v>4</v>
      </c>
      <c r="B10" s="6">
        <v>13</v>
      </c>
    </row>
    <row r="11" spans="1:2" x14ac:dyDescent="0.25">
      <c r="A11" s="4" t="s">
        <v>25</v>
      </c>
      <c r="B11" s="6">
        <v>23</v>
      </c>
    </row>
    <row r="12" spans="1:2" x14ac:dyDescent="0.25">
      <c r="A12" s="4" t="s">
        <v>5</v>
      </c>
      <c r="B12" s="6">
        <v>5</v>
      </c>
    </row>
    <row r="13" spans="1:2" x14ac:dyDescent="0.25">
      <c r="A13" s="4" t="s">
        <v>22</v>
      </c>
      <c r="B13" s="6">
        <v>16</v>
      </c>
    </row>
    <row r="14" spans="1:2" x14ac:dyDescent="0.25">
      <c r="A14" s="4" t="s">
        <v>6</v>
      </c>
      <c r="B14" s="6">
        <v>18</v>
      </c>
    </row>
    <row r="15" spans="1:2" x14ac:dyDescent="0.25">
      <c r="A15" s="4" t="s">
        <v>23</v>
      </c>
      <c r="B15" s="6">
        <v>18</v>
      </c>
    </row>
    <row r="16" spans="1:2" x14ac:dyDescent="0.25">
      <c r="A16" s="4" t="s">
        <v>12</v>
      </c>
      <c r="B16" s="6">
        <v>28</v>
      </c>
    </row>
    <row r="17" spans="1:2" x14ac:dyDescent="0.25">
      <c r="A17" s="4" t="s">
        <v>7</v>
      </c>
      <c r="B17" s="6">
        <v>44</v>
      </c>
    </row>
    <row r="18" spans="1:2" x14ac:dyDescent="0.25">
      <c r="A18" s="4" t="s">
        <v>8</v>
      </c>
      <c r="B18" s="6">
        <v>22</v>
      </c>
    </row>
    <row r="19" spans="1:2" x14ac:dyDescent="0.25">
      <c r="A19" s="4" t="s">
        <v>24</v>
      </c>
      <c r="B19" s="6">
        <v>27</v>
      </c>
    </row>
    <row r="20" spans="1:2" x14ac:dyDescent="0.25">
      <c r="A20" s="4" t="s">
        <v>9</v>
      </c>
      <c r="B20" s="6">
        <v>3</v>
      </c>
    </row>
    <row r="21" spans="1:2" ht="15.75" thickBot="1" x14ac:dyDescent="0.3">
      <c r="A21" s="9" t="s">
        <v>13</v>
      </c>
      <c r="B21" s="7">
        <v>3</v>
      </c>
    </row>
    <row r="22" spans="1:2" ht="16.5" thickTop="1" thickBot="1" x14ac:dyDescent="0.3">
      <c r="A22" s="5" t="s">
        <v>0</v>
      </c>
      <c r="B22" s="8">
        <f>SUM(B7:B21)</f>
        <v>304</v>
      </c>
    </row>
    <row r="23" spans="1:2" x14ac:dyDescent="0.25">
      <c r="A23" s="33"/>
      <c r="B23" s="33"/>
    </row>
  </sheetData>
  <mergeCells count="4">
    <mergeCell ref="A2:B2"/>
    <mergeCell ref="A5:A6"/>
    <mergeCell ref="B5:B6"/>
    <mergeCell ref="A23:B2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2004-05</v>
      </c>
      <c r="B3" s="3"/>
    </row>
    <row r="4" spans="1:2" ht="15.75" thickBot="1" x14ac:dyDescent="0.3">
      <c r="A4" s="3"/>
      <c r="B4" s="3"/>
    </row>
    <row r="5" spans="1:2" ht="15" customHeight="1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17</v>
      </c>
      <c r="B7" s="6">
        <v>63</v>
      </c>
    </row>
    <row r="8" spans="1:2" x14ac:dyDescent="0.25">
      <c r="A8" s="4" t="s">
        <v>2</v>
      </c>
      <c r="B8" s="6">
        <v>14</v>
      </c>
    </row>
    <row r="9" spans="1:2" x14ac:dyDescent="0.25">
      <c r="A9" s="4" t="s">
        <v>3</v>
      </c>
      <c r="B9" s="6">
        <v>23</v>
      </c>
    </row>
    <row r="10" spans="1:2" x14ac:dyDescent="0.25">
      <c r="A10" s="4" t="s">
        <v>4</v>
      </c>
      <c r="B10" s="6">
        <v>11</v>
      </c>
    </row>
    <row r="11" spans="1:2" x14ac:dyDescent="0.25">
      <c r="A11" s="4" t="s">
        <v>25</v>
      </c>
      <c r="B11" s="6">
        <v>20</v>
      </c>
    </row>
    <row r="12" spans="1:2" x14ac:dyDescent="0.25">
      <c r="A12" s="4" t="s">
        <v>5</v>
      </c>
      <c r="B12" s="6">
        <v>8</v>
      </c>
    </row>
    <row r="13" spans="1:2" x14ac:dyDescent="0.25">
      <c r="A13" s="4" t="s">
        <v>22</v>
      </c>
      <c r="B13" s="6">
        <v>28</v>
      </c>
    </row>
    <row r="14" spans="1:2" x14ac:dyDescent="0.25">
      <c r="A14" s="4" t="s">
        <v>6</v>
      </c>
      <c r="B14" s="6">
        <v>16</v>
      </c>
    </row>
    <row r="15" spans="1:2" x14ac:dyDescent="0.25">
      <c r="A15" s="4" t="s">
        <v>23</v>
      </c>
      <c r="B15" s="6">
        <v>7</v>
      </c>
    </row>
    <row r="16" spans="1:2" x14ac:dyDescent="0.25">
      <c r="A16" s="4" t="s">
        <v>12</v>
      </c>
      <c r="B16" s="6">
        <v>19</v>
      </c>
    </row>
    <row r="17" spans="1:2" x14ac:dyDescent="0.25">
      <c r="A17" s="4" t="s">
        <v>7</v>
      </c>
      <c r="B17" s="6">
        <v>21</v>
      </c>
    </row>
    <row r="18" spans="1:2" x14ac:dyDescent="0.25">
      <c r="A18" s="4" t="s">
        <v>8</v>
      </c>
      <c r="B18" s="6">
        <v>49</v>
      </c>
    </row>
    <row r="19" spans="1:2" x14ac:dyDescent="0.25">
      <c r="A19" s="4" t="s">
        <v>24</v>
      </c>
      <c r="B19" s="6">
        <v>19</v>
      </c>
    </row>
    <row r="20" spans="1:2" x14ac:dyDescent="0.25">
      <c r="A20" s="4" t="s">
        <v>9</v>
      </c>
      <c r="B20" s="6">
        <v>26</v>
      </c>
    </row>
    <row r="21" spans="1:2" ht="15.75" thickBot="1" x14ac:dyDescent="0.3">
      <c r="A21" s="9" t="s">
        <v>13</v>
      </c>
      <c r="B21" s="7">
        <v>1</v>
      </c>
    </row>
    <row r="22" spans="1:2" ht="16.5" thickTop="1" thickBot="1" x14ac:dyDescent="0.3">
      <c r="A22" s="5" t="s">
        <v>0</v>
      </c>
      <c r="B22" s="8">
        <f>SUM(B7:B21)</f>
        <v>325</v>
      </c>
    </row>
    <row r="23" spans="1:2" x14ac:dyDescent="0.25">
      <c r="A23" s="33"/>
      <c r="B23" s="33"/>
    </row>
  </sheetData>
  <mergeCells count="4">
    <mergeCell ref="A2:B2"/>
    <mergeCell ref="A5:A6"/>
    <mergeCell ref="B5:B6"/>
    <mergeCell ref="A23:B2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2003-04</v>
      </c>
      <c r="B3" s="3"/>
    </row>
    <row r="4" spans="1:2" ht="15.75" thickBot="1" x14ac:dyDescent="0.3">
      <c r="A4" s="3"/>
      <c r="B4" s="3"/>
    </row>
    <row r="5" spans="1:2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17</v>
      </c>
      <c r="B7" s="6">
        <v>64</v>
      </c>
    </row>
    <row r="8" spans="1:2" x14ac:dyDescent="0.25">
      <c r="A8" s="4" t="s">
        <v>2</v>
      </c>
      <c r="B8" s="6">
        <v>13</v>
      </c>
    </row>
    <row r="9" spans="1:2" x14ac:dyDescent="0.25">
      <c r="A9" s="4" t="s">
        <v>3</v>
      </c>
      <c r="B9" s="6">
        <v>17</v>
      </c>
    </row>
    <row r="10" spans="1:2" x14ac:dyDescent="0.25">
      <c r="A10" s="4" t="s">
        <v>4</v>
      </c>
      <c r="B10" s="6">
        <v>14</v>
      </c>
    </row>
    <row r="11" spans="1:2" x14ac:dyDescent="0.25">
      <c r="A11" s="4" t="s">
        <v>25</v>
      </c>
      <c r="B11" s="6">
        <v>17</v>
      </c>
    </row>
    <row r="12" spans="1:2" x14ac:dyDescent="0.25">
      <c r="A12" s="4" t="s">
        <v>5</v>
      </c>
      <c r="B12" s="6">
        <v>10</v>
      </c>
    </row>
    <row r="13" spans="1:2" x14ac:dyDescent="0.25">
      <c r="A13" s="4" t="s">
        <v>22</v>
      </c>
      <c r="B13" s="6">
        <v>13</v>
      </c>
    </row>
    <row r="14" spans="1:2" x14ac:dyDescent="0.25">
      <c r="A14" s="4" t="s">
        <v>6</v>
      </c>
      <c r="B14" s="6">
        <v>12</v>
      </c>
    </row>
    <row r="15" spans="1:2" x14ac:dyDescent="0.25">
      <c r="A15" s="4" t="s">
        <v>23</v>
      </c>
      <c r="B15" s="6">
        <v>8</v>
      </c>
    </row>
    <row r="16" spans="1:2" x14ac:dyDescent="0.25">
      <c r="A16" s="4" t="s">
        <v>12</v>
      </c>
      <c r="B16" s="6">
        <v>10</v>
      </c>
    </row>
    <row r="17" spans="1:2" x14ac:dyDescent="0.25">
      <c r="A17" s="4" t="s">
        <v>7</v>
      </c>
      <c r="B17" s="6">
        <v>19</v>
      </c>
    </row>
    <row r="18" spans="1:2" x14ac:dyDescent="0.25">
      <c r="A18" s="4" t="s">
        <v>8</v>
      </c>
      <c r="B18" s="6">
        <v>57</v>
      </c>
    </row>
    <row r="19" spans="1:2" x14ac:dyDescent="0.25">
      <c r="A19" s="4" t="s">
        <v>24</v>
      </c>
      <c r="B19" s="6">
        <v>20</v>
      </c>
    </row>
    <row r="20" spans="1:2" x14ac:dyDescent="0.25">
      <c r="A20" s="4" t="s">
        <v>9</v>
      </c>
      <c r="B20" s="6">
        <v>25</v>
      </c>
    </row>
    <row r="21" spans="1:2" ht="15.75" thickBot="1" x14ac:dyDescent="0.3">
      <c r="A21" s="9" t="s">
        <v>13</v>
      </c>
      <c r="B21" s="7">
        <v>7</v>
      </c>
    </row>
    <row r="22" spans="1:2" ht="16.5" thickTop="1" thickBot="1" x14ac:dyDescent="0.3">
      <c r="A22" s="5" t="s">
        <v>0</v>
      </c>
      <c r="B22" s="8">
        <f>SUM(B7:B21)</f>
        <v>306</v>
      </c>
    </row>
    <row r="24" spans="1:2" x14ac:dyDescent="0.25">
      <c r="A24" s="33"/>
      <c r="B24" s="33"/>
    </row>
  </sheetData>
  <mergeCells count="4">
    <mergeCell ref="A2:B2"/>
    <mergeCell ref="A5:A6"/>
    <mergeCell ref="B5:B6"/>
    <mergeCell ref="A24:B24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4" ht="18" x14ac:dyDescent="0.25">
      <c r="A1" s="1" t="s">
        <v>18</v>
      </c>
      <c r="B1" s="1"/>
      <c r="C1" s="1"/>
      <c r="D1" s="3"/>
    </row>
    <row r="2" spans="1:4" x14ac:dyDescent="0.25">
      <c r="A2" s="35" t="s">
        <v>15</v>
      </c>
      <c r="B2" s="35"/>
      <c r="C2" s="35"/>
      <c r="D2" s="35"/>
    </row>
    <row r="3" spans="1:4" x14ac:dyDescent="0.25">
      <c r="A3" s="28" t="str">
        <f ca="1">RIGHT(CELL("filename",A1),LEN(CELL("filename",A1))-FIND("]",CELL("filename",A1)))</f>
        <v>2002-03</v>
      </c>
      <c r="B3" s="2"/>
      <c r="C3" s="2"/>
      <c r="D3" s="3"/>
    </row>
    <row r="4" spans="1:4" ht="15.75" thickBot="1" x14ac:dyDescent="0.3">
      <c r="A4" s="3"/>
      <c r="B4" s="3"/>
      <c r="C4" s="3"/>
      <c r="D4" s="3"/>
    </row>
    <row r="5" spans="1:4" ht="15" customHeight="1" x14ac:dyDescent="0.25">
      <c r="A5" s="36" t="s">
        <v>1</v>
      </c>
      <c r="B5" s="40" t="s">
        <v>14</v>
      </c>
      <c r="C5" s="40" t="s">
        <v>26</v>
      </c>
      <c r="D5" s="38" t="s">
        <v>0</v>
      </c>
    </row>
    <row r="6" spans="1:4" x14ac:dyDescent="0.25">
      <c r="A6" s="37"/>
      <c r="B6" s="41"/>
      <c r="C6" s="41"/>
      <c r="D6" s="39"/>
    </row>
    <row r="7" spans="1:4" x14ac:dyDescent="0.25">
      <c r="A7" s="4" t="s">
        <v>19</v>
      </c>
      <c r="B7" s="10">
        <v>56</v>
      </c>
      <c r="C7" s="10">
        <v>0</v>
      </c>
      <c r="D7" s="6">
        <f>C7+B7</f>
        <v>56</v>
      </c>
    </row>
    <row r="8" spans="1:4" x14ac:dyDescent="0.25">
      <c r="A8" s="4" t="s">
        <v>2</v>
      </c>
      <c r="B8" s="10">
        <v>10</v>
      </c>
      <c r="C8" s="10">
        <v>0</v>
      </c>
      <c r="D8" s="6">
        <f t="shared" ref="D8:D21" si="0">C8+B8</f>
        <v>10</v>
      </c>
    </row>
    <row r="9" spans="1:4" ht="15" customHeight="1" x14ac:dyDescent="0.25">
      <c r="A9" s="4" t="s">
        <v>3</v>
      </c>
      <c r="B9" s="10">
        <v>19</v>
      </c>
      <c r="C9" s="10">
        <v>0</v>
      </c>
      <c r="D9" s="6">
        <f t="shared" si="0"/>
        <v>19</v>
      </c>
    </row>
    <row r="10" spans="1:4" x14ac:dyDescent="0.25">
      <c r="A10" s="4" t="s">
        <v>4</v>
      </c>
      <c r="B10" s="10">
        <v>12</v>
      </c>
      <c r="C10" s="10">
        <v>0</v>
      </c>
      <c r="D10" s="6">
        <f t="shared" si="0"/>
        <v>12</v>
      </c>
    </row>
    <row r="11" spans="1:4" x14ac:dyDescent="0.25">
      <c r="A11" s="4" t="s">
        <v>25</v>
      </c>
      <c r="B11" s="10">
        <v>15</v>
      </c>
      <c r="C11" s="10">
        <v>0</v>
      </c>
      <c r="D11" s="6">
        <f t="shared" si="0"/>
        <v>15</v>
      </c>
    </row>
    <row r="12" spans="1:4" x14ac:dyDescent="0.25">
      <c r="A12" s="4" t="s">
        <v>5</v>
      </c>
      <c r="B12" s="10">
        <v>4</v>
      </c>
      <c r="C12" s="10">
        <v>0</v>
      </c>
      <c r="D12" s="6">
        <f t="shared" si="0"/>
        <v>4</v>
      </c>
    </row>
    <row r="13" spans="1:4" x14ac:dyDescent="0.25">
      <c r="A13" s="4" t="s">
        <v>22</v>
      </c>
      <c r="B13" s="10">
        <v>15</v>
      </c>
      <c r="C13" s="10">
        <v>0</v>
      </c>
      <c r="D13" s="6">
        <f t="shared" si="0"/>
        <v>15</v>
      </c>
    </row>
    <row r="14" spans="1:4" x14ac:dyDescent="0.25">
      <c r="A14" s="4" t="s">
        <v>6</v>
      </c>
      <c r="B14" s="10">
        <v>12</v>
      </c>
      <c r="C14" s="10">
        <v>0</v>
      </c>
      <c r="D14" s="6">
        <f t="shared" si="0"/>
        <v>12</v>
      </c>
    </row>
    <row r="15" spans="1:4" x14ac:dyDescent="0.25">
      <c r="A15" s="4" t="s">
        <v>23</v>
      </c>
      <c r="B15" s="10">
        <v>11</v>
      </c>
      <c r="C15" s="10">
        <v>0</v>
      </c>
      <c r="D15" s="6">
        <f t="shared" si="0"/>
        <v>11</v>
      </c>
    </row>
    <row r="16" spans="1:4" x14ac:dyDescent="0.25">
      <c r="A16" s="4" t="s">
        <v>12</v>
      </c>
      <c r="B16" s="10">
        <v>16</v>
      </c>
      <c r="C16" s="10">
        <v>0</v>
      </c>
      <c r="D16" s="6">
        <f t="shared" si="0"/>
        <v>16</v>
      </c>
    </row>
    <row r="17" spans="1:4" x14ac:dyDescent="0.25">
      <c r="A17" s="4" t="s">
        <v>7</v>
      </c>
      <c r="B17" s="10">
        <v>27</v>
      </c>
      <c r="C17" s="10">
        <v>0</v>
      </c>
      <c r="D17" s="6">
        <f t="shared" si="0"/>
        <v>27</v>
      </c>
    </row>
    <row r="18" spans="1:4" x14ac:dyDescent="0.25">
      <c r="A18" s="4" t="s">
        <v>8</v>
      </c>
      <c r="B18" s="10">
        <v>51</v>
      </c>
      <c r="C18" s="10">
        <v>1</v>
      </c>
      <c r="D18" s="6">
        <f t="shared" si="0"/>
        <v>52</v>
      </c>
    </row>
    <row r="19" spans="1:4" x14ac:dyDescent="0.25">
      <c r="A19" s="4" t="s">
        <v>24</v>
      </c>
      <c r="B19" s="10">
        <v>11</v>
      </c>
      <c r="C19" s="10">
        <v>0</v>
      </c>
      <c r="D19" s="6">
        <f t="shared" si="0"/>
        <v>11</v>
      </c>
    </row>
    <row r="20" spans="1:4" x14ac:dyDescent="0.25">
      <c r="A20" s="4" t="s">
        <v>9</v>
      </c>
      <c r="B20" s="10">
        <v>22</v>
      </c>
      <c r="C20" s="10">
        <v>0</v>
      </c>
      <c r="D20" s="6">
        <f t="shared" si="0"/>
        <v>22</v>
      </c>
    </row>
    <row r="21" spans="1:4" ht="15.75" thickBot="1" x14ac:dyDescent="0.3">
      <c r="A21" s="9" t="s">
        <v>13</v>
      </c>
      <c r="B21" s="11">
        <v>12</v>
      </c>
      <c r="C21" s="11">
        <v>0</v>
      </c>
      <c r="D21" s="7">
        <f t="shared" si="0"/>
        <v>12</v>
      </c>
    </row>
    <row r="22" spans="1:4" ht="16.5" thickTop="1" thickBot="1" x14ac:dyDescent="0.3">
      <c r="A22" s="5" t="s">
        <v>0</v>
      </c>
      <c r="B22" s="12"/>
      <c r="C22" s="13"/>
      <c r="D22" s="8">
        <f>SUM(D7:D21)</f>
        <v>294</v>
      </c>
    </row>
    <row r="23" spans="1:4" x14ac:dyDescent="0.25">
      <c r="A23" s="33"/>
      <c r="B23" s="33"/>
      <c r="C23" s="33"/>
      <c r="D23" s="33"/>
    </row>
  </sheetData>
  <mergeCells count="6">
    <mergeCell ref="A2:D2"/>
    <mergeCell ref="A5:A6"/>
    <mergeCell ref="D5:D6"/>
    <mergeCell ref="A23:D23"/>
    <mergeCell ref="B5:B6"/>
    <mergeCell ref="C5:C6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2001-02</v>
      </c>
      <c r="B3" s="3"/>
    </row>
    <row r="4" spans="1:2" ht="15.75" thickBot="1" x14ac:dyDescent="0.3">
      <c r="A4" s="3"/>
      <c r="B4" s="3"/>
    </row>
    <row r="5" spans="1:2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19</v>
      </c>
      <c r="B7" s="6">
        <v>58</v>
      </c>
    </row>
    <row r="8" spans="1:2" x14ac:dyDescent="0.25">
      <c r="A8" s="4" t="s">
        <v>2</v>
      </c>
      <c r="B8" s="6">
        <v>6</v>
      </c>
    </row>
    <row r="9" spans="1:2" x14ac:dyDescent="0.25">
      <c r="A9" s="4" t="s">
        <v>3</v>
      </c>
      <c r="B9" s="6">
        <v>18</v>
      </c>
    </row>
    <row r="10" spans="1:2" x14ac:dyDescent="0.25">
      <c r="A10" s="4" t="s">
        <v>4</v>
      </c>
      <c r="B10" s="6">
        <v>4</v>
      </c>
    </row>
    <row r="11" spans="1:2" x14ac:dyDescent="0.25">
      <c r="A11" s="4" t="s">
        <v>25</v>
      </c>
      <c r="B11" s="6">
        <v>17</v>
      </c>
    </row>
    <row r="12" spans="1:2" x14ac:dyDescent="0.25">
      <c r="A12" s="4" t="s">
        <v>5</v>
      </c>
      <c r="B12" s="6">
        <v>8</v>
      </c>
    </row>
    <row r="13" spans="1:2" x14ac:dyDescent="0.25">
      <c r="A13" s="4" t="s">
        <v>22</v>
      </c>
      <c r="B13" s="6">
        <v>13</v>
      </c>
    </row>
    <row r="14" spans="1:2" x14ac:dyDescent="0.25">
      <c r="A14" s="4" t="s">
        <v>6</v>
      </c>
      <c r="B14" s="6">
        <v>12</v>
      </c>
    </row>
    <row r="15" spans="1:2" x14ac:dyDescent="0.25">
      <c r="A15" s="4" t="s">
        <v>23</v>
      </c>
      <c r="B15" s="6">
        <v>6</v>
      </c>
    </row>
    <row r="16" spans="1:2" x14ac:dyDescent="0.25">
      <c r="A16" s="4" t="s">
        <v>12</v>
      </c>
      <c r="B16" s="6">
        <v>20</v>
      </c>
    </row>
    <row r="17" spans="1:2" x14ac:dyDescent="0.25">
      <c r="A17" s="4" t="s">
        <v>7</v>
      </c>
      <c r="B17" s="6">
        <v>41</v>
      </c>
    </row>
    <row r="18" spans="1:2" x14ac:dyDescent="0.25">
      <c r="A18" s="4" t="s">
        <v>8</v>
      </c>
      <c r="B18" s="6">
        <v>20</v>
      </c>
    </row>
    <row r="19" spans="1:2" x14ac:dyDescent="0.25">
      <c r="A19" s="4" t="s">
        <v>24</v>
      </c>
      <c r="B19" s="6">
        <v>7</v>
      </c>
    </row>
    <row r="20" spans="1:2" x14ac:dyDescent="0.25">
      <c r="A20" s="4" t="s">
        <v>9</v>
      </c>
      <c r="B20" s="6">
        <v>18</v>
      </c>
    </row>
    <row r="21" spans="1:2" ht="15.75" thickBot="1" x14ac:dyDescent="0.3">
      <c r="A21" s="9" t="s">
        <v>13</v>
      </c>
      <c r="B21" s="7">
        <v>13</v>
      </c>
    </row>
    <row r="22" spans="1:2" ht="16.5" thickTop="1" thickBot="1" x14ac:dyDescent="0.3">
      <c r="A22" s="5" t="s">
        <v>0</v>
      </c>
      <c r="B22" s="8">
        <f>SUM(B7:B21)</f>
        <v>261</v>
      </c>
    </row>
    <row r="24" spans="1:2" x14ac:dyDescent="0.25">
      <c r="A24" s="33"/>
      <c r="B24" s="33"/>
    </row>
  </sheetData>
  <mergeCells count="4">
    <mergeCell ref="A2:B2"/>
    <mergeCell ref="A5:A6"/>
    <mergeCell ref="B5:B6"/>
    <mergeCell ref="A24:B24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2000-01</v>
      </c>
      <c r="B3" s="3"/>
    </row>
    <row r="4" spans="1:2" ht="15.75" thickBot="1" x14ac:dyDescent="0.3">
      <c r="A4" s="3"/>
      <c r="B4" s="3"/>
    </row>
    <row r="5" spans="1:2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19</v>
      </c>
      <c r="B7" s="6">
        <v>73</v>
      </c>
    </row>
    <row r="8" spans="1:2" x14ac:dyDescent="0.25">
      <c r="A8" s="4" t="s">
        <v>2</v>
      </c>
      <c r="B8" s="6">
        <v>10</v>
      </c>
    </row>
    <row r="9" spans="1:2" x14ac:dyDescent="0.25">
      <c r="A9" s="4" t="s">
        <v>3</v>
      </c>
      <c r="B9" s="6">
        <v>13</v>
      </c>
    </row>
    <row r="10" spans="1:2" x14ac:dyDescent="0.25">
      <c r="A10" s="4" t="s">
        <v>4</v>
      </c>
      <c r="B10" s="6">
        <v>6</v>
      </c>
    </row>
    <row r="11" spans="1:2" x14ac:dyDescent="0.25">
      <c r="A11" s="4" t="s">
        <v>5</v>
      </c>
      <c r="B11" s="6">
        <v>9</v>
      </c>
    </row>
    <row r="12" spans="1:2" x14ac:dyDescent="0.25">
      <c r="A12" s="4" t="s">
        <v>22</v>
      </c>
      <c r="B12" s="6">
        <v>29</v>
      </c>
    </row>
    <row r="13" spans="1:2" x14ac:dyDescent="0.25">
      <c r="A13" s="4" t="s">
        <v>6</v>
      </c>
      <c r="B13" s="6">
        <v>9</v>
      </c>
    </row>
    <row r="14" spans="1:2" x14ac:dyDescent="0.25">
      <c r="A14" s="4" t="s">
        <v>23</v>
      </c>
      <c r="B14" s="6">
        <v>8</v>
      </c>
    </row>
    <row r="15" spans="1:2" x14ac:dyDescent="0.25">
      <c r="A15" s="4" t="s">
        <v>12</v>
      </c>
      <c r="B15" s="6">
        <v>19</v>
      </c>
    </row>
    <row r="16" spans="1:2" x14ac:dyDescent="0.25">
      <c r="A16" s="4" t="s">
        <v>7</v>
      </c>
      <c r="B16" s="6">
        <v>35</v>
      </c>
    </row>
    <row r="17" spans="1:2" x14ac:dyDescent="0.25">
      <c r="A17" s="4" t="s">
        <v>8</v>
      </c>
      <c r="B17" s="6">
        <v>23</v>
      </c>
    </row>
    <row r="18" spans="1:2" x14ac:dyDescent="0.25">
      <c r="A18" s="4" t="s">
        <v>24</v>
      </c>
      <c r="B18" s="6">
        <v>8</v>
      </c>
    </row>
    <row r="19" spans="1:2" x14ac:dyDescent="0.25">
      <c r="A19" s="4" t="s">
        <v>9</v>
      </c>
      <c r="B19" s="6">
        <v>18</v>
      </c>
    </row>
    <row r="20" spans="1:2" ht="15.75" thickBot="1" x14ac:dyDescent="0.3">
      <c r="A20" s="9" t="s">
        <v>13</v>
      </c>
      <c r="B20" s="7">
        <v>13</v>
      </c>
    </row>
    <row r="21" spans="1:2" ht="16.5" thickTop="1" thickBot="1" x14ac:dyDescent="0.3">
      <c r="A21" s="5" t="s">
        <v>0</v>
      </c>
      <c r="B21" s="8">
        <f>SUM(B7:B20)</f>
        <v>273</v>
      </c>
    </row>
  </sheetData>
  <mergeCells count="3">
    <mergeCell ref="A2:B2"/>
    <mergeCell ref="A5:A6"/>
    <mergeCell ref="B5:B6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1999-00</v>
      </c>
      <c r="B3" s="3"/>
    </row>
    <row r="4" spans="1:2" ht="15.75" thickBot="1" x14ac:dyDescent="0.3">
      <c r="A4" s="3"/>
      <c r="B4" s="3"/>
    </row>
    <row r="5" spans="1:2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19</v>
      </c>
      <c r="B7" s="6">
        <v>68</v>
      </c>
    </row>
    <row r="8" spans="1:2" x14ac:dyDescent="0.25">
      <c r="A8" s="4" t="s">
        <v>2</v>
      </c>
      <c r="B8" s="6">
        <v>7</v>
      </c>
    </row>
    <row r="9" spans="1:2" x14ac:dyDescent="0.25">
      <c r="A9" s="4" t="s">
        <v>4</v>
      </c>
      <c r="B9" s="6">
        <v>4</v>
      </c>
    </row>
    <row r="10" spans="1:2" x14ac:dyDescent="0.25">
      <c r="A10" s="4" t="s">
        <v>5</v>
      </c>
      <c r="B10" s="6">
        <v>4</v>
      </c>
    </row>
    <row r="11" spans="1:2" x14ac:dyDescent="0.25">
      <c r="A11" s="4" t="s">
        <v>11</v>
      </c>
      <c r="B11" s="6">
        <v>28</v>
      </c>
    </row>
    <row r="12" spans="1:2" x14ac:dyDescent="0.25">
      <c r="A12" s="4" t="s">
        <v>6</v>
      </c>
      <c r="B12" s="6">
        <v>2</v>
      </c>
    </row>
    <row r="13" spans="1:2" x14ac:dyDescent="0.25">
      <c r="A13" s="4" t="s">
        <v>12</v>
      </c>
      <c r="B13" s="6">
        <v>13</v>
      </c>
    </row>
    <row r="14" spans="1:2" x14ac:dyDescent="0.25">
      <c r="A14" s="4" t="s">
        <v>7</v>
      </c>
      <c r="B14" s="6">
        <v>34</v>
      </c>
    </row>
    <row r="15" spans="1:2" x14ac:dyDescent="0.25">
      <c r="A15" s="4" t="s">
        <v>8</v>
      </c>
      <c r="B15" s="6">
        <v>26</v>
      </c>
    </row>
    <row r="16" spans="1:2" x14ac:dyDescent="0.25">
      <c r="A16" s="4" t="s">
        <v>9</v>
      </c>
      <c r="B16" s="6">
        <v>21</v>
      </c>
    </row>
    <row r="17" spans="1:2" x14ac:dyDescent="0.25">
      <c r="A17" s="4" t="s">
        <v>13</v>
      </c>
      <c r="B17" s="6">
        <v>10</v>
      </c>
    </row>
    <row r="18" spans="1:2" ht="15.75" thickBot="1" x14ac:dyDescent="0.3">
      <c r="A18" s="9" t="s">
        <v>21</v>
      </c>
      <c r="B18" s="7">
        <v>30</v>
      </c>
    </row>
    <row r="19" spans="1:2" ht="16.5" thickTop="1" thickBot="1" x14ac:dyDescent="0.3">
      <c r="A19" s="5" t="s">
        <v>0</v>
      </c>
      <c r="B19" s="8">
        <f>SUM(B7:B18)</f>
        <v>247</v>
      </c>
    </row>
    <row r="21" spans="1:2" x14ac:dyDescent="0.25">
      <c r="A21" s="33"/>
      <c r="B21" s="33"/>
    </row>
  </sheetData>
  <mergeCells count="4">
    <mergeCell ref="A2:B2"/>
    <mergeCell ref="A5:A6"/>
    <mergeCell ref="B5:B6"/>
    <mergeCell ref="A21:B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1998-99</v>
      </c>
      <c r="B3" s="3"/>
    </row>
    <row r="4" spans="1:2" ht="15.75" thickBot="1" x14ac:dyDescent="0.3">
      <c r="A4" s="3"/>
      <c r="B4" s="3"/>
    </row>
    <row r="5" spans="1:2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19</v>
      </c>
      <c r="B7" s="6">
        <v>66</v>
      </c>
    </row>
    <row r="8" spans="1:2" x14ac:dyDescent="0.25">
      <c r="A8" s="4" t="s">
        <v>2</v>
      </c>
      <c r="B8" s="6">
        <v>8</v>
      </c>
    </row>
    <row r="9" spans="1:2" x14ac:dyDescent="0.25">
      <c r="A9" s="4" t="s">
        <v>3</v>
      </c>
      <c r="B9" s="6">
        <v>3</v>
      </c>
    </row>
    <row r="10" spans="1:2" x14ac:dyDescent="0.25">
      <c r="A10" s="4" t="s">
        <v>4</v>
      </c>
      <c r="B10" s="6">
        <v>5</v>
      </c>
    </row>
    <row r="11" spans="1:2" x14ac:dyDescent="0.25">
      <c r="A11" s="4" t="s">
        <v>5</v>
      </c>
      <c r="B11" s="6">
        <v>1</v>
      </c>
    </row>
    <row r="12" spans="1:2" x14ac:dyDescent="0.25">
      <c r="A12" s="4" t="s">
        <v>11</v>
      </c>
      <c r="B12" s="6">
        <v>18</v>
      </c>
    </row>
    <row r="13" spans="1:2" x14ac:dyDescent="0.25">
      <c r="A13" s="4" t="s">
        <v>6</v>
      </c>
      <c r="B13" s="6">
        <v>6</v>
      </c>
    </row>
    <row r="14" spans="1:2" x14ac:dyDescent="0.25">
      <c r="A14" s="4" t="s">
        <v>12</v>
      </c>
      <c r="B14" s="6">
        <v>8</v>
      </c>
    </row>
    <row r="15" spans="1:2" x14ac:dyDescent="0.25">
      <c r="A15" s="4" t="s">
        <v>7</v>
      </c>
      <c r="B15" s="6">
        <v>28</v>
      </c>
    </row>
    <row r="16" spans="1:2" x14ac:dyDescent="0.25">
      <c r="A16" s="4" t="s">
        <v>8</v>
      </c>
      <c r="B16" s="6">
        <v>21</v>
      </c>
    </row>
    <row r="17" spans="1:2" x14ac:dyDescent="0.25">
      <c r="A17" s="4" t="s">
        <v>9</v>
      </c>
      <c r="B17" s="6">
        <v>22</v>
      </c>
    </row>
    <row r="18" spans="1:2" x14ac:dyDescent="0.25">
      <c r="A18" s="4" t="s">
        <v>13</v>
      </c>
      <c r="B18" s="6">
        <v>10</v>
      </c>
    </row>
    <row r="19" spans="1:2" x14ac:dyDescent="0.25">
      <c r="A19" s="4" t="s">
        <v>10</v>
      </c>
      <c r="B19" s="6">
        <v>2</v>
      </c>
    </row>
    <row r="20" spans="1:2" ht="15.75" thickBot="1" x14ac:dyDescent="0.3">
      <c r="A20" s="9" t="s">
        <v>21</v>
      </c>
      <c r="B20" s="7">
        <v>33</v>
      </c>
    </row>
    <row r="21" spans="1:2" ht="16.5" thickTop="1" thickBot="1" x14ac:dyDescent="0.3">
      <c r="A21" s="5" t="s">
        <v>0</v>
      </c>
      <c r="B21" s="8">
        <f>SUM(B7:B20)</f>
        <v>231</v>
      </c>
    </row>
    <row r="23" spans="1:2" x14ac:dyDescent="0.25">
      <c r="A23" s="33"/>
      <c r="B23" s="33"/>
    </row>
  </sheetData>
  <mergeCells count="4">
    <mergeCell ref="A2:B2"/>
    <mergeCell ref="A5:A6"/>
    <mergeCell ref="B5:B6"/>
    <mergeCell ref="A23:B2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1997-98</v>
      </c>
      <c r="B3" s="3"/>
    </row>
    <row r="4" spans="1:2" ht="15.75" thickBot="1" x14ac:dyDescent="0.3">
      <c r="A4" s="3"/>
      <c r="B4" s="3"/>
    </row>
    <row r="5" spans="1:2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19</v>
      </c>
      <c r="B7" s="6">
        <v>76</v>
      </c>
    </row>
    <row r="8" spans="1:2" x14ac:dyDescent="0.25">
      <c r="A8" s="4" t="s">
        <v>2</v>
      </c>
      <c r="B8" s="6">
        <v>8</v>
      </c>
    </row>
    <row r="9" spans="1:2" x14ac:dyDescent="0.25">
      <c r="A9" s="4" t="s">
        <v>3</v>
      </c>
      <c r="B9" s="6">
        <v>3</v>
      </c>
    </row>
    <row r="10" spans="1:2" x14ac:dyDescent="0.25">
      <c r="A10" s="4" t="s">
        <v>4</v>
      </c>
      <c r="B10" s="6">
        <v>4</v>
      </c>
    </row>
    <row r="11" spans="1:2" x14ac:dyDescent="0.25">
      <c r="A11" s="4" t="s">
        <v>5</v>
      </c>
      <c r="B11" s="6">
        <v>1</v>
      </c>
    </row>
    <row r="12" spans="1:2" x14ac:dyDescent="0.25">
      <c r="A12" s="4" t="s">
        <v>11</v>
      </c>
      <c r="B12" s="6">
        <v>14</v>
      </c>
    </row>
    <row r="13" spans="1:2" x14ac:dyDescent="0.25">
      <c r="A13" s="4" t="s">
        <v>6</v>
      </c>
      <c r="B13" s="6">
        <v>5</v>
      </c>
    </row>
    <row r="14" spans="1:2" x14ac:dyDescent="0.25">
      <c r="A14" s="4" t="s">
        <v>12</v>
      </c>
      <c r="B14" s="6">
        <v>10</v>
      </c>
    </row>
    <row r="15" spans="1:2" x14ac:dyDescent="0.25">
      <c r="A15" s="4" t="s">
        <v>7</v>
      </c>
      <c r="B15" s="6">
        <v>36</v>
      </c>
    </row>
    <row r="16" spans="1:2" x14ac:dyDescent="0.25">
      <c r="A16" s="4" t="s">
        <v>8</v>
      </c>
      <c r="B16" s="6">
        <v>24</v>
      </c>
    </row>
    <row r="17" spans="1:2" x14ac:dyDescent="0.25">
      <c r="A17" s="4" t="s">
        <v>20</v>
      </c>
      <c r="B17" s="6">
        <v>1</v>
      </c>
    </row>
    <row r="18" spans="1:2" x14ac:dyDescent="0.25">
      <c r="A18" s="4" t="s">
        <v>9</v>
      </c>
      <c r="B18" s="6">
        <v>32</v>
      </c>
    </row>
    <row r="19" spans="1:2" x14ac:dyDescent="0.25">
      <c r="A19" s="4" t="s">
        <v>13</v>
      </c>
      <c r="B19" s="6">
        <v>12</v>
      </c>
    </row>
    <row r="20" spans="1:2" ht="15.75" thickBot="1" x14ac:dyDescent="0.3">
      <c r="A20" s="9" t="s">
        <v>10</v>
      </c>
      <c r="B20" s="7">
        <v>2</v>
      </c>
    </row>
    <row r="21" spans="1:2" ht="16.5" thickTop="1" thickBot="1" x14ac:dyDescent="0.3">
      <c r="A21" s="5" t="s">
        <v>0</v>
      </c>
      <c r="B21" s="8">
        <f>SUM(B7:B20)</f>
        <v>228</v>
      </c>
    </row>
    <row r="23" spans="1:2" x14ac:dyDescent="0.25">
      <c r="A23" s="33"/>
      <c r="B23" s="33"/>
    </row>
  </sheetData>
  <mergeCells count="4">
    <mergeCell ref="A2:B2"/>
    <mergeCell ref="A5:A6"/>
    <mergeCell ref="B5:B6"/>
    <mergeCell ref="A23:B2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1996-97</v>
      </c>
      <c r="B3" s="3"/>
    </row>
    <row r="4" spans="1:2" ht="15.75" thickBot="1" x14ac:dyDescent="0.3">
      <c r="A4" s="3"/>
      <c r="B4" s="3"/>
    </row>
    <row r="5" spans="1:2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19</v>
      </c>
      <c r="B7" s="6">
        <v>81</v>
      </c>
    </row>
    <row r="8" spans="1:2" x14ac:dyDescent="0.25">
      <c r="A8" s="4" t="s">
        <v>2</v>
      </c>
      <c r="B8" s="6">
        <v>10</v>
      </c>
    </row>
    <row r="9" spans="1:2" x14ac:dyDescent="0.25">
      <c r="A9" s="4" t="s">
        <v>3</v>
      </c>
      <c r="B9" s="6">
        <v>3</v>
      </c>
    </row>
    <row r="10" spans="1:2" x14ac:dyDescent="0.25">
      <c r="A10" s="4" t="s">
        <v>4</v>
      </c>
      <c r="B10" s="6">
        <v>6</v>
      </c>
    </row>
    <row r="11" spans="1:2" x14ac:dyDescent="0.25">
      <c r="A11" s="4" t="s">
        <v>5</v>
      </c>
      <c r="B11" s="6">
        <v>1</v>
      </c>
    </row>
    <row r="12" spans="1:2" x14ac:dyDescent="0.25">
      <c r="A12" s="4" t="s">
        <v>11</v>
      </c>
      <c r="B12" s="6">
        <v>14</v>
      </c>
    </row>
    <row r="13" spans="1:2" x14ac:dyDescent="0.25">
      <c r="A13" s="4" t="s">
        <v>6</v>
      </c>
      <c r="B13" s="6">
        <v>6</v>
      </c>
    </row>
    <row r="14" spans="1:2" x14ac:dyDescent="0.25">
      <c r="A14" s="4" t="s">
        <v>12</v>
      </c>
      <c r="B14" s="6">
        <v>9</v>
      </c>
    </row>
    <row r="15" spans="1:2" x14ac:dyDescent="0.25">
      <c r="A15" s="4" t="s">
        <v>7</v>
      </c>
      <c r="B15" s="6">
        <v>22</v>
      </c>
    </row>
    <row r="16" spans="1:2" x14ac:dyDescent="0.25">
      <c r="A16" s="4" t="s">
        <v>8</v>
      </c>
      <c r="B16" s="6">
        <v>36</v>
      </c>
    </row>
    <row r="17" spans="1:2" x14ac:dyDescent="0.25">
      <c r="A17" s="4" t="s">
        <v>9</v>
      </c>
      <c r="B17" s="6">
        <v>30</v>
      </c>
    </row>
    <row r="18" spans="1:2" x14ac:dyDescent="0.25">
      <c r="A18" s="4" t="s">
        <v>13</v>
      </c>
      <c r="B18" s="6">
        <v>12</v>
      </c>
    </row>
    <row r="19" spans="1:2" ht="15.75" thickBot="1" x14ac:dyDescent="0.3">
      <c r="A19" s="9" t="s">
        <v>10</v>
      </c>
      <c r="B19" s="7">
        <v>2</v>
      </c>
    </row>
    <row r="20" spans="1:2" ht="16.5" thickTop="1" thickBot="1" x14ac:dyDescent="0.3">
      <c r="A20" s="5" t="s">
        <v>0</v>
      </c>
      <c r="B20" s="8">
        <f>SUM(B7:B19)</f>
        <v>232</v>
      </c>
    </row>
    <row r="22" spans="1:2" x14ac:dyDescent="0.25">
      <c r="A22" s="33"/>
      <c r="B22" s="33"/>
    </row>
  </sheetData>
  <mergeCells count="4">
    <mergeCell ref="A2:B2"/>
    <mergeCell ref="A5:A6"/>
    <mergeCell ref="B5:B6"/>
    <mergeCell ref="A22:B22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view="pageLayout" zoomScale="70" zoomScaleNormal="100" zoomScalePageLayoutView="70" workbookViewId="0">
      <selection activeCell="A27" sqref="A27"/>
    </sheetView>
  </sheetViews>
  <sheetFormatPr defaultRowHeight="15" x14ac:dyDescent="0.25"/>
  <cols>
    <col min="1" max="1" width="37.28515625" customWidth="1"/>
    <col min="2" max="4" width="6.42578125" customWidth="1"/>
  </cols>
  <sheetData>
    <row r="1" spans="1:2" ht="18" x14ac:dyDescent="0.25">
      <c r="A1" s="1" t="s">
        <v>18</v>
      </c>
      <c r="B1" s="3"/>
    </row>
    <row r="2" spans="1:2" x14ac:dyDescent="0.25">
      <c r="A2" s="35" t="s">
        <v>15</v>
      </c>
      <c r="B2" s="35"/>
    </row>
    <row r="3" spans="1:2" x14ac:dyDescent="0.25">
      <c r="A3" s="28" t="str">
        <f ca="1">RIGHT(CELL("filename",A1),LEN(CELL("filename",A1))-FIND("]",CELL("filename",A1)))</f>
        <v>1995-96</v>
      </c>
      <c r="B3" s="3"/>
    </row>
    <row r="4" spans="1:2" ht="15.75" thickBot="1" x14ac:dyDescent="0.3">
      <c r="A4" s="3"/>
      <c r="B4" s="3"/>
    </row>
    <row r="5" spans="1:2" x14ac:dyDescent="0.25">
      <c r="A5" s="36" t="s">
        <v>1</v>
      </c>
      <c r="B5" s="38" t="s">
        <v>14</v>
      </c>
    </row>
    <row r="6" spans="1:2" x14ac:dyDescent="0.25">
      <c r="A6" s="37"/>
      <c r="B6" s="39"/>
    </row>
    <row r="7" spans="1:2" x14ac:dyDescent="0.25">
      <c r="A7" s="4" t="s">
        <v>17</v>
      </c>
      <c r="B7" s="6">
        <v>79</v>
      </c>
    </row>
    <row r="8" spans="1:2" x14ac:dyDescent="0.25">
      <c r="A8" s="4" t="s">
        <v>2</v>
      </c>
      <c r="B8" s="6">
        <v>5</v>
      </c>
    </row>
    <row r="9" spans="1:2" x14ac:dyDescent="0.25">
      <c r="A9" s="4" t="s">
        <v>3</v>
      </c>
      <c r="B9" s="6">
        <v>1</v>
      </c>
    </row>
    <row r="10" spans="1:2" x14ac:dyDescent="0.25">
      <c r="A10" s="4" t="s">
        <v>4</v>
      </c>
      <c r="B10" s="6">
        <v>9</v>
      </c>
    </row>
    <row r="11" spans="1:2" x14ac:dyDescent="0.25">
      <c r="A11" s="4" t="s">
        <v>5</v>
      </c>
      <c r="B11" s="6">
        <v>2</v>
      </c>
    </row>
    <row r="12" spans="1:2" x14ac:dyDescent="0.25">
      <c r="A12" s="4" t="s">
        <v>11</v>
      </c>
      <c r="B12" s="6">
        <v>12</v>
      </c>
    </row>
    <row r="13" spans="1:2" x14ac:dyDescent="0.25">
      <c r="A13" s="4" t="s">
        <v>6</v>
      </c>
      <c r="B13" s="6">
        <v>1</v>
      </c>
    </row>
    <row r="14" spans="1:2" x14ac:dyDescent="0.25">
      <c r="A14" s="4" t="s">
        <v>12</v>
      </c>
      <c r="B14" s="6">
        <v>11</v>
      </c>
    </row>
    <row r="15" spans="1:2" x14ac:dyDescent="0.25">
      <c r="A15" s="4" t="s">
        <v>7</v>
      </c>
      <c r="B15" s="6">
        <v>6</v>
      </c>
    </row>
    <row r="16" spans="1:2" x14ac:dyDescent="0.25">
      <c r="A16" s="4" t="s">
        <v>8</v>
      </c>
      <c r="B16" s="6">
        <v>29</v>
      </c>
    </row>
    <row r="17" spans="1:2" x14ac:dyDescent="0.25">
      <c r="A17" s="4" t="s">
        <v>16</v>
      </c>
      <c r="B17" s="6">
        <v>1</v>
      </c>
    </row>
    <row r="18" spans="1:2" x14ac:dyDescent="0.25">
      <c r="A18" s="4" t="s">
        <v>9</v>
      </c>
      <c r="B18" s="6">
        <v>38</v>
      </c>
    </row>
    <row r="19" spans="1:2" x14ac:dyDescent="0.25">
      <c r="A19" s="4" t="s">
        <v>13</v>
      </c>
      <c r="B19" s="6">
        <v>9</v>
      </c>
    </row>
    <row r="20" spans="1:2" ht="15.75" thickBot="1" x14ac:dyDescent="0.3">
      <c r="A20" s="9" t="s">
        <v>10</v>
      </c>
      <c r="B20" s="7">
        <v>1</v>
      </c>
    </row>
    <row r="21" spans="1:2" ht="16.5" thickTop="1" thickBot="1" x14ac:dyDescent="0.3">
      <c r="A21" s="5" t="s">
        <v>0</v>
      </c>
      <c r="B21" s="8">
        <f>SUM(B7:B20)</f>
        <v>204</v>
      </c>
    </row>
    <row r="23" spans="1:2" x14ac:dyDescent="0.25">
      <c r="A23" s="33"/>
      <c r="B23" s="33"/>
    </row>
  </sheetData>
  <mergeCells count="4">
    <mergeCell ref="A2:B2"/>
    <mergeCell ref="A23:B23"/>
    <mergeCell ref="A5:A6"/>
    <mergeCell ref="B5:B6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2011-12</vt:lpstr>
      <vt:lpstr>2010-11</vt:lpstr>
      <vt:lpstr>2009-10</vt:lpstr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2000-01</vt:lpstr>
      <vt:lpstr>1999-00</vt:lpstr>
      <vt:lpstr>1998-99</vt:lpstr>
      <vt:lpstr>1997-98</vt:lpstr>
      <vt:lpstr>1996-97</vt:lpstr>
      <vt:lpstr>1995-96</vt:lpstr>
      <vt:lpstr>'1995-96'!Print_Titles</vt:lpstr>
      <vt:lpstr>'1996-97'!Print_Titles</vt:lpstr>
      <vt:lpstr>'1997-98'!Print_Titles</vt:lpstr>
      <vt:lpstr>'1998-99'!Print_Titles</vt:lpstr>
      <vt:lpstr>'1999-00'!Print_Titles</vt:lpstr>
      <vt:lpstr>'2000-01'!Print_Titles</vt:lpstr>
      <vt:lpstr>'2001-02'!Print_Titles</vt:lpstr>
      <vt:lpstr>'2002-03'!Print_Titles</vt:lpstr>
      <vt:lpstr>'2003-04'!Print_Titles</vt:lpstr>
      <vt:lpstr>'2004-05'!Print_Titles</vt:lpstr>
      <vt:lpstr>'2005-06'!Print_Titles</vt:lpstr>
      <vt:lpstr>'2006-07'!Print_Titles</vt:lpstr>
      <vt:lpstr>'2007-08'!Print_Titles</vt:lpstr>
      <vt:lpstr>'2008-09'!Print_Titles</vt:lpstr>
      <vt:lpstr>'2009-10'!Print_Titles</vt:lpstr>
      <vt:lpstr>'2010-11'!Print_Titles</vt:lpstr>
      <vt:lpstr>'2011-12'!Print_Titles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2013-06-18T13:11:15Z</cp:lastPrinted>
  <dcterms:created xsi:type="dcterms:W3CDTF">2013-05-17T14:02:41Z</dcterms:created>
  <dcterms:modified xsi:type="dcterms:W3CDTF">2013-06-21T13:46:15Z</dcterms:modified>
</cp:coreProperties>
</file>