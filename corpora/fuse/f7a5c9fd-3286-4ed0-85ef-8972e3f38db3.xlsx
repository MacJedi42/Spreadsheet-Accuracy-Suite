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workbookProtection lockStructure="1"/>
  <bookViews>
    <workbookView xWindow="-225" yWindow="360" windowWidth="15285" windowHeight="9135"/>
  </bookViews>
  <sheets>
    <sheet name="GW-59 Summary Table" sheetId="3" r:id="rId1"/>
  </sheets>
  <definedNames>
    <definedName name="AGENT">#REF!</definedName>
    <definedName name="City">#REF!</definedName>
    <definedName name="Contact">#REF!</definedName>
    <definedName name="County">#REF!</definedName>
    <definedName name="Expiration">#REF!</definedName>
    <definedName name="Facility_Name">#REF!</definedName>
    <definedName name="Number_of_wells">#REF!</definedName>
    <definedName name="Permit_Name">#REF!</definedName>
    <definedName name="Permit_no">#REF!</definedName>
    <definedName name="Phone">#REF!</definedName>
    <definedName name="_xlnm.Print_Area" localSheetId="0">'GW-59 Summary Table'!$B$2:$S$71</definedName>
    <definedName name="Site_name">#REF!</definedName>
    <definedName name="State">#REF!</definedName>
    <definedName name="Street">#REF!</definedName>
    <definedName name="Type">#REF!</definedName>
    <definedName name="Zip">#REF!</definedName>
  </definedNames>
  <calcPr calcId="125725"/>
</workbook>
</file>

<file path=xl/calcChain.xml><?xml version="1.0" encoding="utf-8"?>
<calcChain xmlns="http://schemas.openxmlformats.org/spreadsheetml/2006/main">
  <c r="S41" i="3"/>
  <c r="R41"/>
  <c r="Q41"/>
  <c r="P41"/>
  <c r="O41"/>
  <c r="N41"/>
  <c r="M41"/>
  <c r="L41"/>
  <c r="K41"/>
  <c r="J41"/>
  <c r="I41"/>
  <c r="H41"/>
  <c r="G41"/>
  <c r="F41"/>
  <c r="E41"/>
  <c r="S28"/>
  <c r="R28"/>
  <c r="Q28"/>
  <c r="P28"/>
  <c r="O28"/>
  <c r="N28"/>
  <c r="M28"/>
  <c r="L28"/>
  <c r="K28"/>
  <c r="J28"/>
  <c r="I28"/>
  <c r="H28"/>
  <c r="G28"/>
  <c r="F28"/>
  <c r="E28"/>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alcChain>
</file>

<file path=xl/sharedStrings.xml><?xml version="1.0" encoding="utf-8"?>
<sst xmlns="http://schemas.openxmlformats.org/spreadsheetml/2006/main" count="134" uniqueCount="94">
  <si>
    <t>mg/l</t>
  </si>
  <si>
    <t>GROUNDWATER QUALITY MONITORING:</t>
  </si>
  <si>
    <t>COMPLIANCE REPORT FORM</t>
  </si>
  <si>
    <t>FACILITY INFORMATION</t>
  </si>
  <si>
    <t>Facility Address:</t>
  </si>
  <si>
    <t>Contact Person:</t>
  </si>
  <si>
    <t>Please Print Clearly or Type</t>
  </si>
  <si>
    <t>(Street)</t>
  </si>
  <si>
    <t>(City)</t>
  </si>
  <si>
    <t>(State)</t>
  </si>
  <si>
    <t>(Zip)</t>
  </si>
  <si>
    <t>County</t>
  </si>
  <si>
    <t>Telephone#</t>
  </si>
  <si>
    <t>No. of wells to be sampled:</t>
  </si>
  <si>
    <t>(from Permit)</t>
  </si>
  <si>
    <t>Mail original and 1 copy to:</t>
  </si>
  <si>
    <t>TYPE OF PERMITED OPERATION BEING MONITORED</t>
  </si>
  <si>
    <t>Expiration Date:</t>
  </si>
  <si>
    <t>Appearance</t>
  </si>
  <si>
    <t>DEPARTMENT OF ENVIRONMENT &amp; NATURAL RESOURCES</t>
  </si>
  <si>
    <t>DIVISION OF WATER QUALITY - INFORMATION PROCESSING UNIT</t>
  </si>
  <si>
    <t>Permittee (or Authorized Agent) Name and Title - Please print or type</t>
  </si>
  <si>
    <t>Facility Name:</t>
  </si>
  <si>
    <t>Permit Name (if different):</t>
  </si>
  <si>
    <t>Well Location/Site Name:</t>
  </si>
  <si>
    <t>Units</t>
  </si>
  <si>
    <t>Sample Date</t>
  </si>
  <si>
    <t>Well ID Number (From Permit)</t>
  </si>
  <si>
    <t>Laboratory Name</t>
  </si>
  <si>
    <t>Certification #</t>
  </si>
  <si>
    <t>Sample Analysis Date</t>
  </si>
  <si>
    <t>ft</t>
  </si>
  <si>
    <t>Well Diameter</t>
  </si>
  <si>
    <t>in</t>
  </si>
  <si>
    <t>gal</t>
  </si>
  <si>
    <t>deg. C</t>
  </si>
  <si>
    <t>SU</t>
  </si>
  <si>
    <t>CHECK IF DRY WELL AT TIME OF SAMPLING</t>
  </si>
  <si>
    <t>ug/l</t>
  </si>
  <si>
    <t>Ash Impoundment Groundwater</t>
  </si>
  <si>
    <t>Monitoring Well Construction Information</t>
  </si>
  <si>
    <t xml:space="preserve">Sampling Information and Field Analysis </t>
  </si>
  <si>
    <t>Laboratory Information</t>
  </si>
  <si>
    <t>Sb - Antimony (01097)</t>
  </si>
  <si>
    <t>As - Arsenic (01002)</t>
  </si>
  <si>
    <t>Ba - Barium (01007)</t>
  </si>
  <si>
    <t>B - Boron (01022)</t>
  </si>
  <si>
    <t>Cd - Cadmium (01027)</t>
  </si>
  <si>
    <t>Cl - Chloride (00940)</t>
  </si>
  <si>
    <t>Cr - Chromium (01034)</t>
  </si>
  <si>
    <t>Cu - Copper (01042)</t>
  </si>
  <si>
    <t>Fe - Iron (01045)</t>
  </si>
  <si>
    <t>Pb - Lead (01051)</t>
  </si>
  <si>
    <t>Mn - Manganese (01055)</t>
  </si>
  <si>
    <t>Hg - Mercury (71900)</t>
  </si>
  <si>
    <t>Ni - Nickel (01067)</t>
  </si>
  <si>
    <t>Se - Selenium (01147)</t>
  </si>
  <si>
    <t>Tl - Thallium (01059)</t>
  </si>
  <si>
    <t>TDS - Total Diss. Solids (70300)</t>
  </si>
  <si>
    <t>Zn - Zinc (01092)</t>
  </si>
  <si>
    <t>Temperature (00010)</t>
  </si>
  <si>
    <t>Odor (00085)</t>
  </si>
  <si>
    <t>pH - field (00400)</t>
  </si>
  <si>
    <t>Specific Cond - field (00094)</t>
  </si>
  <si>
    <t>and field acidified:</t>
  </si>
  <si>
    <t>Yes</t>
  </si>
  <si>
    <t>No</t>
  </si>
  <si>
    <t>15A-2L</t>
  </si>
  <si>
    <t>This area is for conditional formatting to BOLD values at or above the 2L</t>
  </si>
  <si>
    <t>6.5 - 8.5</t>
  </si>
  <si>
    <t>PERMIT Number:</t>
  </si>
  <si>
    <t>Permit Type:</t>
  </si>
  <si>
    <t>NPDES</t>
  </si>
  <si>
    <t>Relative Measuring Point Elevation</t>
  </si>
  <si>
    <t>Volume of Water pumped/bailed</t>
  </si>
  <si>
    <t>Signature of Permittee (or Authorized Agent)</t>
  </si>
  <si>
    <t>Date</t>
  </si>
  <si>
    <t>Water Level [ft below measuring pt.] (82546)</t>
  </si>
  <si>
    <r>
      <t>Nitrate (NO</t>
    </r>
    <r>
      <rPr>
        <b/>
        <vertAlign val="subscript"/>
        <sz val="12"/>
        <rFont val="Calibri"/>
        <family val="2"/>
        <scheme val="minor"/>
      </rPr>
      <t>3</t>
    </r>
    <r>
      <rPr>
        <b/>
        <sz val="12"/>
        <rFont val="Calibri"/>
        <family val="2"/>
        <scheme val="minor"/>
      </rPr>
      <t>) as N (00620)</t>
    </r>
  </si>
  <si>
    <r>
      <t>SO</t>
    </r>
    <r>
      <rPr>
        <b/>
        <vertAlign val="subscript"/>
        <sz val="12"/>
        <rFont val="Calibri"/>
        <family val="2"/>
        <scheme val="minor"/>
      </rPr>
      <t>4</t>
    </r>
    <r>
      <rPr>
        <b/>
        <sz val="12"/>
        <rFont val="Calibri"/>
        <family val="2"/>
        <scheme val="minor"/>
      </rPr>
      <t xml:space="preserve"> - Sulfate (00945)</t>
    </r>
  </si>
  <si>
    <t>Samples for metals were collected unfiltered:</t>
  </si>
  <si>
    <t xml:space="preserve">  No</t>
  </si>
  <si>
    <t>umhos/cm</t>
  </si>
  <si>
    <r>
      <rPr>
        <b/>
        <sz val="11"/>
        <rFont val="Calibri"/>
        <family val="2"/>
        <scheme val="minor"/>
      </rPr>
      <t>BOLD</t>
    </r>
    <r>
      <rPr>
        <sz val="11"/>
        <rFont val="Calibri"/>
        <family val="2"/>
        <scheme val="minor"/>
      </rPr>
      <t xml:space="preserve"> values equal or exceed the corresponding 2L standard</t>
    </r>
  </si>
  <si>
    <t>MW-</t>
  </si>
  <si>
    <t>Screen Bottom  [ft below land surface]</t>
  </si>
  <si>
    <t>Well Depth  [ft below land surface]</t>
  </si>
  <si>
    <t>Screen Top  [ft below land surface]</t>
  </si>
  <si>
    <t xml:space="preserve"> ft  </t>
  </si>
  <si>
    <t>GW-59CCR  01/2011</t>
  </si>
  <si>
    <t>1617 MAIL SERVICE CENTER, RALEIGH, NC 27699-1617  Phone: (919) 733-3221</t>
  </si>
  <si>
    <t>I certify that, to the best of my knowledge and belief, the information submitted in this report is true, accurate, and complete, and that the laboratory analytical data was produced using approved methods of analysis by  a  DWQ-certified laboratory.     I am aware that there are significant penalties for submitting false information, including the possibility of fines and imprisonment for knowing violations.</t>
  </si>
  <si>
    <t>Al - Aluminum (01105)</t>
  </si>
  <si>
    <t>Measuring Point (toc) [ft above land surface]</t>
  </si>
</sst>
</file>

<file path=xl/styles.xml><?xml version="1.0" encoding="utf-8"?>
<styleSheet xmlns="http://schemas.openxmlformats.org/spreadsheetml/2006/main">
  <numFmts count="5">
    <numFmt numFmtId="164" formatCode="0.0"/>
    <numFmt numFmtId="165" formatCode="0.000"/>
    <numFmt numFmtId="166" formatCode="\&lt;0.000"/>
    <numFmt numFmtId="167" formatCode="#."/>
    <numFmt numFmtId="168" formatCode="mm/dd/yyyy"/>
  </numFmts>
  <fonts count="34">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sz val="8"/>
      <color theme="1"/>
      <name val="Calibri"/>
      <family val="2"/>
      <scheme val="minor"/>
    </font>
    <font>
      <b/>
      <u/>
      <sz val="11"/>
      <color theme="1"/>
      <name val="Calibri"/>
      <family val="2"/>
      <scheme val="minor"/>
    </font>
    <font>
      <b/>
      <sz val="9"/>
      <color theme="1"/>
      <name val="Calibri"/>
      <family val="2"/>
      <scheme val="minor"/>
    </font>
    <font>
      <sz val="10"/>
      <color theme="1"/>
      <name val="Calibri"/>
      <family val="2"/>
      <scheme val="minor"/>
    </font>
    <font>
      <sz val="9"/>
      <color theme="0"/>
      <name val="Arial"/>
      <family val="2"/>
    </font>
    <font>
      <sz val="7"/>
      <color theme="1"/>
      <name val="Calibri"/>
      <family val="2"/>
      <scheme val="minor"/>
    </font>
    <font>
      <b/>
      <sz val="13.5"/>
      <color theme="1"/>
      <name val="Calibri"/>
      <family val="2"/>
      <scheme val="minor"/>
    </font>
    <font>
      <sz val="10"/>
      <name val="MS Sans Serif"/>
      <family val="2"/>
    </font>
    <font>
      <sz val="11"/>
      <color theme="1"/>
      <name val="Calibri"/>
      <family val="2"/>
      <scheme val="minor"/>
    </font>
    <font>
      <b/>
      <sz val="14"/>
      <color theme="1"/>
      <name val="Calibri"/>
      <family val="2"/>
      <scheme val="minor"/>
    </font>
    <font>
      <b/>
      <sz val="12"/>
      <name val="Calibri"/>
      <family val="2"/>
      <scheme val="minor"/>
    </font>
    <font>
      <sz val="9"/>
      <name val="Calibri"/>
      <family val="2"/>
      <scheme val="minor"/>
    </font>
    <font>
      <b/>
      <sz val="10"/>
      <name val="Calibri"/>
      <family val="2"/>
      <scheme val="minor"/>
    </font>
    <font>
      <b/>
      <sz val="9"/>
      <name val="Calibri"/>
      <family val="2"/>
      <scheme val="minor"/>
    </font>
    <font>
      <sz val="10"/>
      <name val="Arial"/>
      <family val="2"/>
    </font>
    <font>
      <sz val="10"/>
      <name val="Arial"/>
      <family val="2"/>
    </font>
    <font>
      <b/>
      <sz val="1"/>
      <color indexed="16"/>
      <name val="Courier"/>
      <family val="3"/>
    </font>
    <font>
      <sz val="1"/>
      <color indexed="16"/>
      <name val="Courier"/>
      <family val="3"/>
    </font>
    <font>
      <sz val="8"/>
      <name val="Tahoma"/>
      <family val="2"/>
    </font>
    <font>
      <b/>
      <sz val="12"/>
      <color theme="1"/>
      <name val="Calibri"/>
      <family val="2"/>
      <scheme val="minor"/>
    </font>
    <font>
      <b/>
      <sz val="16"/>
      <color theme="1"/>
      <name val="Calibri"/>
      <family val="2"/>
      <scheme val="minor"/>
    </font>
    <font>
      <b/>
      <u/>
      <sz val="12"/>
      <color theme="1"/>
      <name val="Calibri"/>
      <family val="2"/>
      <scheme val="minor"/>
    </font>
    <font>
      <sz val="12"/>
      <color theme="1"/>
      <name val="Calibri"/>
      <family val="2"/>
      <scheme val="minor"/>
    </font>
    <font>
      <b/>
      <sz val="12"/>
      <color theme="0"/>
      <name val="Calibri"/>
      <family val="2"/>
      <scheme val="minor"/>
    </font>
    <font>
      <b/>
      <sz val="11"/>
      <name val="Calibri"/>
      <family val="2"/>
      <scheme val="minor"/>
    </font>
    <font>
      <sz val="12"/>
      <name val="Calibri"/>
      <family val="2"/>
      <scheme val="minor"/>
    </font>
    <font>
      <sz val="11"/>
      <name val="Calibri"/>
      <family val="2"/>
      <scheme val="minor"/>
    </font>
    <font>
      <b/>
      <vertAlign val="subscript"/>
      <sz val="12"/>
      <name val="Calibri"/>
      <family val="2"/>
      <scheme val="minor"/>
    </font>
    <font>
      <sz val="11"/>
      <color theme="0"/>
      <name val="Arial"/>
      <family val="2"/>
    </font>
    <font>
      <sz val="14"/>
      <color theme="1"/>
      <name val="Calibri"/>
      <family val="2"/>
      <scheme val="minor"/>
    </font>
  </fonts>
  <fills count="10">
    <fill>
      <patternFill patternType="none"/>
    </fill>
    <fill>
      <patternFill patternType="gray125"/>
    </fill>
    <fill>
      <patternFill patternType="solid">
        <fgColor theme="1" tint="0.1499984740745262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FFFF00"/>
        <bgColor indexed="64"/>
      </patternFill>
    </fill>
    <fill>
      <patternFill patternType="solid">
        <fgColor indexed="65"/>
        <bgColor indexed="64"/>
      </patternFill>
    </fill>
    <fill>
      <patternFill patternType="solid">
        <fgColor theme="5" tint="0.79998168889431442"/>
        <bgColor indexed="64"/>
      </patternFill>
    </fill>
  </fills>
  <borders count="5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thin">
        <color indexed="64"/>
      </bottom>
      <diagonal/>
    </border>
    <border>
      <left style="medium">
        <color auto="1"/>
      </left>
      <right/>
      <top/>
      <bottom style="medium">
        <color auto="1"/>
      </bottom>
      <diagonal/>
    </border>
    <border>
      <left/>
      <right/>
      <top/>
      <bottom style="medium">
        <color auto="1"/>
      </bottom>
      <diagonal/>
    </border>
    <border>
      <left/>
      <right/>
      <top style="thin">
        <color indexed="64"/>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auto="1"/>
      </left>
      <right/>
      <top/>
      <bottom/>
      <diagonal/>
    </border>
    <border>
      <left style="thin">
        <color auto="1"/>
      </left>
      <right/>
      <top/>
      <bottom style="thin">
        <color indexed="64"/>
      </bottom>
      <diagonal/>
    </border>
    <border>
      <left/>
      <right style="medium">
        <color auto="1"/>
      </right>
      <top/>
      <bottom style="thin">
        <color indexed="64"/>
      </bottom>
      <diagonal/>
    </border>
    <border>
      <left/>
      <right style="medium">
        <color indexed="64"/>
      </right>
      <top style="thin">
        <color indexed="64"/>
      </top>
      <bottom/>
      <diagonal/>
    </border>
    <border>
      <left/>
      <right/>
      <top style="medium">
        <color auto="1"/>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top style="double">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auto="1"/>
      </left>
      <right style="thin">
        <color indexed="64"/>
      </right>
      <top style="medium">
        <color auto="1"/>
      </top>
      <bottom style="medium">
        <color indexed="64"/>
      </bottom>
      <diagonal/>
    </border>
    <border>
      <left/>
      <right style="thin">
        <color indexed="64"/>
      </right>
      <top style="medium">
        <color auto="1"/>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auto="1"/>
      </right>
      <top/>
      <bottom style="thin">
        <color indexed="64"/>
      </bottom>
      <diagonal/>
    </border>
    <border>
      <left style="medium">
        <color indexed="64"/>
      </left>
      <right/>
      <top style="thin">
        <color indexed="64"/>
      </top>
      <bottom style="thin">
        <color indexed="64"/>
      </bottom>
      <diagonal/>
    </border>
    <border>
      <left/>
      <right style="thin">
        <color indexed="64"/>
      </right>
      <top style="medium">
        <color auto="1"/>
      </top>
      <bottom/>
      <diagonal/>
    </border>
    <border>
      <left style="medium">
        <color indexed="64"/>
      </left>
      <right/>
      <top style="medium">
        <color indexed="64"/>
      </top>
      <bottom style="thin">
        <color indexed="64"/>
      </bottom>
      <diagonal/>
    </border>
    <border>
      <left style="medium">
        <color auto="1"/>
      </left>
      <right/>
      <top style="thin">
        <color indexed="64"/>
      </top>
      <bottom style="medium">
        <color auto="1"/>
      </bottom>
      <diagonal/>
    </border>
  </borders>
  <cellStyleXfs count="14">
    <xf numFmtId="0" fontId="0" fillId="0" borderId="0"/>
    <xf numFmtId="0" fontId="18" fillId="0" borderId="0"/>
    <xf numFmtId="167" fontId="20" fillId="0" borderId="0">
      <protection locked="0"/>
    </xf>
    <xf numFmtId="167" fontId="20" fillId="0" borderId="0">
      <protection locked="0"/>
    </xf>
    <xf numFmtId="167" fontId="20" fillId="0" borderId="0">
      <protection locked="0"/>
    </xf>
    <xf numFmtId="167" fontId="20" fillId="0" borderId="0">
      <protection locked="0"/>
    </xf>
    <xf numFmtId="167" fontId="20" fillId="0" borderId="0">
      <protection locked="0"/>
    </xf>
    <xf numFmtId="167" fontId="21" fillId="0" borderId="0">
      <protection locked="0"/>
    </xf>
    <xf numFmtId="0" fontId="12" fillId="0" borderId="0"/>
    <xf numFmtId="167" fontId="20" fillId="0" borderId="33">
      <protection locked="0"/>
    </xf>
    <xf numFmtId="0" fontId="12" fillId="0" borderId="0"/>
    <xf numFmtId="0" fontId="19" fillId="0" borderId="0"/>
    <xf numFmtId="0" fontId="12" fillId="0" borderId="0"/>
    <xf numFmtId="0" fontId="18" fillId="0" borderId="0"/>
  </cellStyleXfs>
  <cellXfs count="276">
    <xf numFmtId="0" fontId="0" fillId="0" borderId="0" xfId="0"/>
    <xf numFmtId="0" fontId="0" fillId="0" borderId="0" xfId="0" applyProtection="1"/>
    <xf numFmtId="0" fontId="0" fillId="0" borderId="4" xfId="0" applyBorder="1" applyProtection="1"/>
    <xf numFmtId="0" fontId="0" fillId="0" borderId="5" xfId="0" applyBorder="1" applyProtection="1"/>
    <xf numFmtId="0" fontId="0" fillId="0" borderId="0" xfId="0" applyBorder="1" applyProtection="1"/>
    <xf numFmtId="0" fontId="0" fillId="0" borderId="12" xfId="0" applyBorder="1" applyProtection="1"/>
    <xf numFmtId="0" fontId="2" fillId="0" borderId="0" xfId="0" applyFont="1" applyBorder="1" applyProtection="1"/>
    <xf numFmtId="0" fontId="0" fillId="0" borderId="0" xfId="0" applyFont="1" applyBorder="1" applyProtection="1"/>
    <xf numFmtId="0" fontId="0" fillId="0" borderId="6" xfId="0" applyFont="1" applyBorder="1" applyProtection="1"/>
    <xf numFmtId="0" fontId="0" fillId="0" borderId="8" xfId="0" applyBorder="1" applyProtection="1"/>
    <xf numFmtId="0" fontId="0" fillId="0" borderId="9" xfId="0" applyBorder="1" applyProtection="1"/>
    <xf numFmtId="0" fontId="0" fillId="0" borderId="13" xfId="0" applyBorder="1" applyProtection="1"/>
    <xf numFmtId="0" fontId="9" fillId="0" borderId="0" xfId="0" applyFont="1" applyBorder="1" applyAlignment="1" applyProtection="1">
      <alignment vertical="top"/>
    </xf>
    <xf numFmtId="0" fontId="4" fillId="0" borderId="0" xfId="0" applyFont="1" applyProtection="1"/>
    <xf numFmtId="0" fontId="11" fillId="0" borderId="0" xfId="0" applyFont="1" applyFill="1"/>
    <xf numFmtId="0" fontId="0" fillId="0" borderId="0" xfId="0" applyProtection="1">
      <protection locked="0"/>
    </xf>
    <xf numFmtId="0" fontId="2" fillId="0" borderId="0" xfId="0" applyFont="1" applyBorder="1" applyAlignment="1" applyProtection="1">
      <alignment horizontal="center"/>
    </xf>
    <xf numFmtId="0" fontId="4" fillId="0" borderId="3" xfId="0" applyFont="1" applyBorder="1" applyAlignment="1" applyProtection="1">
      <alignment vertical="top"/>
    </xf>
    <xf numFmtId="0" fontId="0" fillId="0" borderId="24" xfId="0" applyFont="1" applyFill="1" applyBorder="1" applyAlignment="1" applyProtection="1">
      <protection locked="0"/>
    </xf>
    <xf numFmtId="0" fontId="4" fillId="0" borderId="0" xfId="0" applyFont="1" applyBorder="1" applyAlignment="1" applyProtection="1">
      <alignment vertical="top"/>
    </xf>
    <xf numFmtId="0" fontId="4" fillId="0" borderId="0" xfId="0" applyFont="1" applyFill="1" applyBorder="1" applyAlignment="1" applyProtection="1">
      <alignment vertical="top"/>
    </xf>
    <xf numFmtId="0" fontId="0" fillId="0" borderId="0" xfId="0" applyFill="1" applyBorder="1" applyProtection="1"/>
    <xf numFmtId="0" fontId="0" fillId="0" borderId="0" xfId="0" applyFont="1" applyFill="1" applyBorder="1" applyProtection="1"/>
    <xf numFmtId="0" fontId="1" fillId="0" borderId="0" xfId="0" applyFont="1" applyFill="1" applyBorder="1" applyAlignment="1" applyProtection="1">
      <alignment vertical="top" wrapText="1"/>
    </xf>
    <xf numFmtId="0" fontId="6" fillId="0" borderId="0" xfId="0" applyFont="1" applyFill="1" applyBorder="1" applyAlignment="1" applyProtection="1">
      <alignment vertical="top"/>
    </xf>
    <xf numFmtId="0" fontId="6" fillId="0" borderId="12" xfId="0" applyFont="1" applyFill="1" applyBorder="1" applyAlignment="1" applyProtection="1">
      <alignment vertical="top"/>
    </xf>
    <xf numFmtId="0" fontId="6" fillId="0" borderId="0" xfId="0" applyFont="1" applyFill="1" applyBorder="1" applyAlignment="1" applyProtection="1"/>
    <xf numFmtId="0" fontId="2" fillId="0" borderId="14" xfId="0" applyFont="1" applyBorder="1" applyAlignment="1" applyProtection="1"/>
    <xf numFmtId="0" fontId="2" fillId="0" borderId="0" xfId="0" applyFont="1" applyFill="1" applyBorder="1" applyProtection="1"/>
    <xf numFmtId="0" fontId="0" fillId="0" borderId="0" xfId="0" applyFill="1" applyBorder="1" applyAlignment="1" applyProtection="1">
      <alignment horizontal="right"/>
    </xf>
    <xf numFmtId="0" fontId="0" fillId="0" borderId="0" xfId="0" applyFont="1" applyFill="1" applyBorder="1" applyAlignment="1" applyProtection="1"/>
    <xf numFmtId="0" fontId="7" fillId="0" borderId="0" xfId="0" applyFont="1" applyFill="1" applyBorder="1" applyAlignment="1" applyProtection="1">
      <alignment vertical="top" wrapText="1"/>
    </xf>
    <xf numFmtId="0" fontId="0" fillId="0" borderId="0" xfId="0" applyFill="1" applyBorder="1" applyAlignment="1" applyProtection="1"/>
    <xf numFmtId="0" fontId="4" fillId="0" borderId="17" xfId="0" applyFont="1" applyBorder="1" applyAlignment="1" applyProtection="1">
      <alignment vertical="top"/>
    </xf>
    <xf numFmtId="0" fontId="6" fillId="0" borderId="12" xfId="0" applyFont="1" applyFill="1" applyBorder="1" applyAlignment="1" applyProtection="1"/>
    <xf numFmtId="0" fontId="8" fillId="0" borderId="0" xfId="0" applyFont="1" applyFill="1" applyBorder="1" applyAlignment="1" applyProtection="1">
      <alignment wrapText="1"/>
    </xf>
    <xf numFmtId="0" fontId="3" fillId="0" borderId="0" xfId="0" applyFont="1" applyBorder="1" applyAlignment="1" applyProtection="1">
      <alignment vertical="top"/>
    </xf>
    <xf numFmtId="0" fontId="5" fillId="0" borderId="0" xfId="0" applyFont="1" applyBorder="1" applyProtection="1"/>
    <xf numFmtId="0" fontId="0" fillId="7" borderId="30" xfId="0" applyFill="1" applyBorder="1"/>
    <xf numFmtId="0" fontId="0" fillId="7" borderId="3" xfId="0" applyFill="1" applyBorder="1"/>
    <xf numFmtId="0" fontId="0" fillId="7" borderId="31" xfId="0" applyFill="1" applyBorder="1"/>
    <xf numFmtId="0" fontId="0" fillId="7" borderId="14" xfId="0" applyFill="1" applyBorder="1" applyAlignment="1">
      <alignment horizontal="center"/>
    </xf>
    <xf numFmtId="0" fontId="0" fillId="7" borderId="0" xfId="0" applyFill="1" applyBorder="1" applyAlignment="1">
      <alignment horizontal="center"/>
    </xf>
    <xf numFmtId="0" fontId="0" fillId="7" borderId="32" xfId="0" applyFill="1" applyBorder="1" applyAlignment="1">
      <alignment horizontal="center"/>
    </xf>
    <xf numFmtId="0" fontId="0" fillId="7" borderId="15" xfId="0" applyFill="1" applyBorder="1"/>
    <xf numFmtId="0" fontId="0" fillId="7" borderId="1" xfId="0" applyFill="1" applyBorder="1"/>
    <xf numFmtId="0" fontId="0" fillId="7" borderId="49" xfId="0" applyFill="1" applyBorder="1"/>
    <xf numFmtId="0" fontId="4" fillId="0" borderId="0" xfId="0" applyFont="1" applyBorder="1" applyProtection="1"/>
    <xf numFmtId="0" fontId="0" fillId="0" borderId="6" xfId="0" applyBorder="1" applyAlignment="1" applyProtection="1">
      <alignment horizontal="center"/>
    </xf>
    <xf numFmtId="0" fontId="0" fillId="0" borderId="0" xfId="0" applyBorder="1" applyAlignment="1" applyProtection="1">
      <alignment horizontal="center"/>
    </xf>
    <xf numFmtId="0" fontId="0" fillId="0" borderId="12" xfId="0" applyFont="1" applyFill="1" applyBorder="1" applyAlignment="1" applyProtection="1"/>
    <xf numFmtId="0" fontId="2" fillId="0" borderId="0" xfId="0" applyFont="1" applyFill="1" applyBorder="1" applyAlignment="1" applyProtection="1"/>
    <xf numFmtId="0" fontId="2" fillId="0" borderId="12" xfId="0" applyFont="1" applyFill="1" applyBorder="1" applyAlignment="1" applyProtection="1"/>
    <xf numFmtId="0" fontId="16" fillId="0" borderId="4" xfId="0" applyFont="1" applyBorder="1" applyProtection="1"/>
    <xf numFmtId="0" fontId="16" fillId="0" borderId="5" xfId="0" applyFont="1" applyFill="1" applyBorder="1" applyProtection="1"/>
    <xf numFmtId="0" fontId="16" fillId="0" borderId="11" xfId="0" applyFont="1" applyBorder="1" applyProtection="1"/>
    <xf numFmtId="0" fontId="16" fillId="0" borderId="6" xfId="0" applyFont="1" applyBorder="1" applyAlignment="1" applyProtection="1">
      <alignment horizontal="center" vertical="center"/>
    </xf>
    <xf numFmtId="0" fontId="16" fillId="0" borderId="9" xfId="0" applyFont="1" applyFill="1" applyBorder="1" applyAlignment="1" applyProtection="1">
      <alignment horizontal="center" vertical="center"/>
    </xf>
    <xf numFmtId="0" fontId="17" fillId="1" borderId="18" xfId="0" applyFont="1" applyFill="1" applyBorder="1" applyAlignment="1" applyProtection="1">
      <alignment horizontal="center" vertical="center"/>
    </xf>
    <xf numFmtId="0" fontId="17" fillId="1" borderId="2" xfId="0" applyFont="1" applyFill="1" applyBorder="1" applyAlignment="1" applyProtection="1">
      <alignment horizontal="center" vertical="center"/>
    </xf>
    <xf numFmtId="0" fontId="17" fillId="1" borderId="10" xfId="0" applyFont="1" applyFill="1" applyBorder="1" applyAlignment="1" applyProtection="1">
      <alignment horizontal="center" vertical="center"/>
    </xf>
    <xf numFmtId="0" fontId="15" fillId="0" borderId="42" xfId="0" applyFont="1" applyBorder="1" applyAlignment="1" applyProtection="1">
      <alignment horizontal="center" vertical="center"/>
    </xf>
    <xf numFmtId="0" fontId="14" fillId="0" borderId="4" xfId="0" applyFont="1" applyBorder="1" applyProtection="1"/>
    <xf numFmtId="0" fontId="15" fillId="0" borderId="5" xfId="0" applyFont="1" applyBorder="1" applyProtection="1"/>
    <xf numFmtId="2" fontId="17" fillId="0" borderId="11" xfId="0" quotePrefix="1" applyNumberFormat="1" applyFont="1" applyBorder="1" applyAlignment="1" applyProtection="1">
      <alignment horizontal="center" vertical="center"/>
    </xf>
    <xf numFmtId="164" fontId="15" fillId="0" borderId="0" xfId="0" applyNumberFormat="1" applyFont="1" applyFill="1" applyBorder="1" applyAlignment="1" applyProtection="1">
      <alignment horizontal="right" vertical="center"/>
    </xf>
    <xf numFmtId="165" fontId="15" fillId="0" borderId="0" xfId="0" applyNumberFormat="1" applyFont="1" applyFill="1" applyBorder="1" applyAlignment="1" applyProtection="1">
      <alignment horizontal="right" vertical="center"/>
    </xf>
    <xf numFmtId="2" fontId="15" fillId="0" borderId="0" xfId="0" applyNumberFormat="1" applyFont="1" applyFill="1" applyBorder="1" applyAlignment="1" applyProtection="1">
      <alignment horizontal="right" vertical="center"/>
    </xf>
    <xf numFmtId="2" fontId="17" fillId="0" borderId="12" xfId="0" quotePrefix="1" applyNumberFormat="1" applyFont="1" applyBorder="1" applyAlignment="1" applyProtection="1">
      <alignment horizontal="center" vertical="center"/>
    </xf>
    <xf numFmtId="0" fontId="15" fillId="0" borderId="6" xfId="0" applyFont="1" applyBorder="1" applyAlignment="1" applyProtection="1">
      <alignment horizontal="center" vertical="center"/>
    </xf>
    <xf numFmtId="0" fontId="15" fillId="0" borderId="0" xfId="0" applyFont="1" applyBorder="1" applyAlignment="1" applyProtection="1">
      <alignment horizontal="center" vertical="center"/>
    </xf>
    <xf numFmtId="0" fontId="15" fillId="0" borderId="0" xfId="0" quotePrefix="1" applyFont="1" applyBorder="1" applyAlignment="1" applyProtection="1">
      <alignment horizontal="right" vertical="center"/>
    </xf>
    <xf numFmtId="166" fontId="15" fillId="0" borderId="0" xfId="0" applyNumberFormat="1" applyFont="1" applyBorder="1" applyAlignment="1" applyProtection="1">
      <alignment horizontal="right" vertical="center"/>
    </xf>
    <xf numFmtId="2" fontId="17" fillId="0" borderId="0" xfId="0" quotePrefix="1" applyNumberFormat="1" applyFont="1" applyBorder="1" applyAlignment="1" applyProtection="1">
      <alignment horizontal="center" vertical="center"/>
    </xf>
    <xf numFmtId="0" fontId="17" fillId="0" borderId="42" xfId="0" applyFont="1" applyBorder="1" applyAlignment="1" applyProtection="1">
      <alignment horizontal="center" vertical="center"/>
    </xf>
    <xf numFmtId="0" fontId="17" fillId="0" borderId="6" xfId="0" applyFont="1" applyBorder="1" applyAlignment="1" applyProtection="1">
      <alignment horizontal="center" vertical="center"/>
    </xf>
    <xf numFmtId="0" fontId="17" fillId="0" borderId="0" xfId="0" applyFont="1" applyBorder="1" applyAlignment="1" applyProtection="1">
      <alignment horizontal="center" vertical="center"/>
    </xf>
    <xf numFmtId="0" fontId="15" fillId="0" borderId="0" xfId="0" applyFont="1" applyFill="1" applyBorder="1" applyAlignment="1" applyProtection="1">
      <alignment horizontal="right" vertical="center"/>
    </xf>
    <xf numFmtId="0" fontId="15" fillId="0" borderId="12" xfId="0" applyFont="1" applyFill="1" applyBorder="1" applyAlignment="1" applyProtection="1">
      <alignment horizontal="right" vertical="center"/>
    </xf>
    <xf numFmtId="0" fontId="15" fillId="9" borderId="0" xfId="0" applyFont="1" applyFill="1" applyBorder="1" applyAlignment="1" applyProtection="1">
      <alignment horizontal="right" vertical="center"/>
    </xf>
    <xf numFmtId="0" fontId="17" fillId="0" borderId="6" xfId="0" applyFont="1" applyBorder="1" applyProtection="1"/>
    <xf numFmtId="0" fontId="17" fillId="0" borderId="0" xfId="0" applyFont="1" applyBorder="1" applyProtection="1"/>
    <xf numFmtId="0" fontId="15" fillId="0" borderId="0" xfId="0" applyFont="1" applyBorder="1" applyAlignment="1" applyProtection="1">
      <alignment horizontal="right" vertical="center"/>
    </xf>
    <xf numFmtId="0" fontId="23" fillId="0" borderId="0" xfId="0" applyFont="1" applyProtection="1"/>
    <xf numFmtId="0" fontId="15" fillId="0" borderId="42" xfId="0" applyFont="1" applyFill="1" applyBorder="1" applyAlignment="1" applyProtection="1">
      <alignment horizontal="center"/>
      <protection locked="0"/>
    </xf>
    <xf numFmtId="2" fontId="15" fillId="0" borderId="40" xfId="0" applyNumberFormat="1" applyFont="1" applyFill="1" applyBorder="1" applyAlignment="1" applyProtection="1">
      <alignment horizontal="center"/>
      <protection locked="0"/>
    </xf>
    <xf numFmtId="0" fontId="15" fillId="0" borderId="40" xfId="0" applyFont="1" applyFill="1" applyBorder="1" applyAlignment="1" applyProtection="1">
      <alignment horizontal="center"/>
      <protection locked="0"/>
    </xf>
    <xf numFmtId="0" fontId="17" fillId="0" borderId="40" xfId="0" applyFont="1" applyFill="1" applyBorder="1" applyAlignment="1" applyProtection="1">
      <alignment horizontal="center"/>
      <protection locked="0"/>
    </xf>
    <xf numFmtId="0" fontId="17" fillId="0" borderId="43" xfId="0" applyFont="1" applyFill="1" applyBorder="1" applyAlignment="1" applyProtection="1">
      <alignment horizontal="center"/>
      <protection locked="0"/>
    </xf>
    <xf numFmtId="14" fontId="0" fillId="0" borderId="0" xfId="0" applyNumberFormat="1" applyFill="1" applyBorder="1" applyAlignment="1" applyProtection="1"/>
    <xf numFmtId="0" fontId="11" fillId="0" borderId="0" xfId="0" applyFont="1" applyFill="1" applyProtection="1"/>
    <xf numFmtId="0" fontId="10" fillId="0" borderId="0" xfId="0" applyFont="1" applyBorder="1" applyAlignment="1" applyProtection="1"/>
    <xf numFmtId="0" fontId="10" fillId="0" borderId="1" xfId="0" applyFont="1" applyBorder="1" applyAlignment="1" applyProtection="1"/>
    <xf numFmtId="0" fontId="6" fillId="4" borderId="0" xfId="0" applyFont="1" applyFill="1" applyBorder="1" applyAlignment="1" applyProtection="1"/>
    <xf numFmtId="0" fontId="6" fillId="4" borderId="12" xfId="0" applyFont="1" applyFill="1" applyBorder="1" applyAlignment="1" applyProtection="1"/>
    <xf numFmtId="0" fontId="6" fillId="4" borderId="4" xfId="0" applyFont="1" applyFill="1" applyBorder="1" applyAlignment="1" applyProtection="1"/>
    <xf numFmtId="0" fontId="6" fillId="4" borderId="5" xfId="0" applyFont="1" applyFill="1" applyBorder="1" applyAlignment="1" applyProtection="1"/>
    <xf numFmtId="0" fontId="6" fillId="4" borderId="11" xfId="0" applyFont="1" applyFill="1" applyBorder="1" applyAlignment="1" applyProtection="1"/>
    <xf numFmtId="0" fontId="25" fillId="0" borderId="6" xfId="0" applyFont="1" applyBorder="1" applyProtection="1"/>
    <xf numFmtId="0" fontId="23" fillId="0" borderId="6" xfId="0" applyFont="1" applyBorder="1" applyProtection="1"/>
    <xf numFmtId="0" fontId="23" fillId="0" borderId="0" xfId="0" applyFont="1" applyBorder="1" applyProtection="1"/>
    <xf numFmtId="0" fontId="23" fillId="4" borderId="6" xfId="0" applyFont="1" applyFill="1" applyBorder="1" applyAlignment="1" applyProtection="1"/>
    <xf numFmtId="0" fontId="14" fillId="0" borderId="12" xfId="0" applyFont="1" applyBorder="1" applyAlignment="1" applyProtection="1">
      <alignment horizontal="center"/>
    </xf>
    <xf numFmtId="0" fontId="14" fillId="0" borderId="41" xfId="0" applyFont="1" applyFill="1" applyBorder="1" applyAlignment="1" applyProtection="1">
      <alignment horizontal="center" vertical="center"/>
    </xf>
    <xf numFmtId="0" fontId="14" fillId="0" borderId="40" xfId="0" applyFont="1" applyFill="1" applyBorder="1" applyAlignment="1" applyProtection="1">
      <alignment horizontal="center" vertical="center"/>
    </xf>
    <xf numFmtId="2" fontId="29" fillId="0" borderId="39" xfId="0" quotePrefix="1" applyNumberFormat="1" applyFont="1" applyFill="1" applyBorder="1" applyAlignment="1" applyProtection="1">
      <alignment horizontal="right" vertical="center"/>
      <protection locked="0"/>
    </xf>
    <xf numFmtId="2" fontId="29" fillId="0" borderId="21" xfId="0" applyNumberFormat="1" applyFont="1" applyFill="1" applyBorder="1" applyAlignment="1" applyProtection="1">
      <alignment horizontal="right" vertical="center"/>
      <protection locked="0"/>
    </xf>
    <xf numFmtId="2" fontId="14" fillId="0" borderId="18" xfId="0" applyNumberFormat="1" applyFont="1" applyFill="1" applyBorder="1" applyAlignment="1" applyProtection="1">
      <alignment horizontal="center" vertical="center"/>
      <protection locked="0"/>
    </xf>
    <xf numFmtId="2" fontId="14" fillId="0" borderId="21" xfId="0" applyNumberFormat="1" applyFont="1" applyFill="1" applyBorder="1" applyAlignment="1" applyProtection="1">
      <alignment horizontal="center" vertical="center"/>
      <protection locked="0"/>
    </xf>
    <xf numFmtId="2" fontId="14" fillId="0" borderId="22" xfId="0" applyNumberFormat="1" applyFont="1" applyFill="1" applyBorder="1" applyAlignment="1" applyProtection="1">
      <alignment horizontal="center" vertical="center"/>
      <protection locked="0"/>
    </xf>
    <xf numFmtId="2" fontId="29" fillId="0" borderId="29" xfId="0" quotePrefix="1" applyNumberFormat="1" applyFont="1" applyFill="1" applyBorder="1" applyAlignment="1" applyProtection="1">
      <alignment horizontal="right" vertical="center"/>
      <protection locked="0"/>
    </xf>
    <xf numFmtId="2" fontId="29" fillId="0" borderId="24" xfId="0" applyNumberFormat="1" applyFont="1" applyFill="1" applyBorder="1" applyAlignment="1" applyProtection="1">
      <alignment horizontal="right" vertical="center"/>
      <protection locked="0"/>
    </xf>
    <xf numFmtId="2" fontId="14" fillId="0" borderId="2" xfId="0" applyNumberFormat="1" applyFont="1" applyFill="1" applyBorder="1" applyAlignment="1" applyProtection="1">
      <alignment horizontal="center" vertical="center"/>
      <protection locked="0"/>
    </xf>
    <xf numFmtId="2" fontId="14" fillId="0" borderId="24" xfId="0" applyNumberFormat="1" applyFont="1" applyFill="1" applyBorder="1" applyAlignment="1" applyProtection="1">
      <alignment horizontal="center" vertical="center"/>
      <protection locked="0"/>
    </xf>
    <xf numFmtId="2" fontId="14" fillId="0" borderId="19" xfId="0" applyNumberFormat="1" applyFont="1" applyFill="1" applyBorder="1" applyAlignment="1" applyProtection="1">
      <alignment horizontal="center" vertical="center"/>
      <protection locked="0"/>
    </xf>
    <xf numFmtId="0" fontId="29" fillId="0" borderId="29" xfId="0" applyFont="1" applyFill="1" applyBorder="1" applyAlignment="1" applyProtection="1">
      <alignment horizontal="right" vertical="center"/>
      <protection locked="0"/>
    </xf>
    <xf numFmtId="0" fontId="29" fillId="0" borderId="24" xfId="0" applyFont="1" applyFill="1" applyBorder="1" applyAlignment="1" applyProtection="1">
      <alignment horizontal="right" vertical="center"/>
      <protection locked="0"/>
    </xf>
    <xf numFmtId="2" fontId="29" fillId="0" borderId="29" xfId="0" applyNumberFormat="1" applyFont="1" applyFill="1" applyBorder="1" applyAlignment="1" applyProtection="1">
      <alignment horizontal="right" vertical="center"/>
      <protection locked="0"/>
    </xf>
    <xf numFmtId="2" fontId="29" fillId="0" borderId="44" xfId="0" applyNumberFormat="1" applyFont="1" applyFill="1" applyBorder="1" applyAlignment="1" applyProtection="1">
      <alignment horizontal="right" vertical="center"/>
      <protection locked="0"/>
    </xf>
    <xf numFmtId="168" fontId="29" fillId="0" borderId="39" xfId="0" applyNumberFormat="1" applyFont="1" applyFill="1" applyBorder="1" applyAlignment="1" applyProtection="1">
      <alignment horizontal="right" vertical="center"/>
      <protection locked="0"/>
    </xf>
    <xf numFmtId="168" fontId="29" fillId="0" borderId="21" xfId="0" applyNumberFormat="1" applyFont="1" applyFill="1" applyBorder="1" applyAlignment="1" applyProtection="1">
      <alignment horizontal="right" vertical="center"/>
      <protection locked="0"/>
    </xf>
    <xf numFmtId="168" fontId="14" fillId="0" borderId="18" xfId="0" applyNumberFormat="1" applyFont="1" applyFill="1" applyBorder="1" applyAlignment="1" applyProtection="1">
      <alignment horizontal="center" vertical="center"/>
      <protection locked="0"/>
    </xf>
    <xf numFmtId="168" fontId="14" fillId="0" borderId="21" xfId="0" applyNumberFormat="1" applyFont="1" applyFill="1" applyBorder="1" applyAlignment="1" applyProtection="1">
      <alignment horizontal="center" vertical="center"/>
      <protection locked="0"/>
    </xf>
    <xf numFmtId="168" fontId="14" fillId="0" borderId="22" xfId="0" applyNumberFormat="1" applyFont="1" applyFill="1" applyBorder="1" applyAlignment="1" applyProtection="1">
      <alignment horizontal="center" vertical="center"/>
      <protection locked="0"/>
    </xf>
    <xf numFmtId="0" fontId="29" fillId="0" borderId="2" xfId="0" applyFont="1" applyFill="1" applyBorder="1" applyAlignment="1" applyProtection="1">
      <alignment horizontal="center" vertical="center"/>
      <protection locked="0"/>
    </xf>
    <xf numFmtId="0" fontId="29" fillId="0" borderId="24" xfId="0" applyFont="1" applyFill="1" applyBorder="1" applyAlignment="1" applyProtection="1">
      <alignment horizontal="center" vertical="center"/>
      <protection locked="0"/>
    </xf>
    <xf numFmtId="0" fontId="29" fillId="0" borderId="19" xfId="0" applyFont="1" applyFill="1" applyBorder="1" applyAlignment="1" applyProtection="1">
      <alignment horizontal="center" vertical="center"/>
      <protection locked="0"/>
    </xf>
    <xf numFmtId="164" fontId="29" fillId="0" borderId="24" xfId="0" applyNumberFormat="1" applyFont="1" applyFill="1" applyBorder="1" applyAlignment="1" applyProtection="1">
      <alignment horizontal="right" vertical="center"/>
      <protection locked="0"/>
    </xf>
    <xf numFmtId="164" fontId="29" fillId="0" borderId="26" xfId="0" applyNumberFormat="1" applyFont="1" applyFill="1" applyBorder="1" applyAlignment="1" applyProtection="1">
      <alignment horizontal="right" vertical="center"/>
      <protection locked="0"/>
    </xf>
    <xf numFmtId="164" fontId="29" fillId="0" borderId="47" xfId="0" applyNumberFormat="1" applyFont="1" applyFill="1" applyBorder="1" applyAlignment="1" applyProtection="1">
      <alignment horizontal="right" vertical="center"/>
      <protection locked="0"/>
    </xf>
    <xf numFmtId="0" fontId="14" fillId="0" borderId="20" xfId="0" applyFont="1" applyBorder="1" applyAlignment="1" applyProtection="1">
      <alignment horizontal="left" vertical="center"/>
    </xf>
    <xf numFmtId="0" fontId="14" fillId="0" borderId="23" xfId="0" applyFont="1" applyBorder="1" applyAlignment="1" applyProtection="1">
      <alignment horizontal="left" vertical="center"/>
    </xf>
    <xf numFmtId="0" fontId="14" fillId="0" borderId="25" xfId="0" applyFont="1" applyBorder="1" applyAlignment="1" applyProtection="1">
      <alignment horizontal="left" vertical="center"/>
    </xf>
    <xf numFmtId="0" fontId="14" fillId="0" borderId="20" xfId="0" applyFont="1" applyBorder="1" applyAlignment="1" applyProtection="1">
      <alignment horizontal="center" vertical="center"/>
    </xf>
    <xf numFmtId="0" fontId="14" fillId="0" borderId="23" xfId="0" applyFont="1" applyBorder="1" applyAlignment="1" applyProtection="1">
      <alignment horizontal="center" vertical="center"/>
    </xf>
    <xf numFmtId="0" fontId="14" fillId="0" borderId="25" xfId="0" applyFont="1" applyBorder="1" applyAlignment="1" applyProtection="1">
      <alignment horizontal="center" vertical="center"/>
    </xf>
    <xf numFmtId="0" fontId="14" fillId="0" borderId="35" xfId="0" applyFont="1" applyFill="1" applyBorder="1" applyAlignment="1" applyProtection="1">
      <alignment horizontal="center" vertical="center"/>
    </xf>
    <xf numFmtId="0" fontId="14" fillId="0" borderId="49" xfId="0" applyFont="1" applyFill="1" applyBorder="1" applyAlignment="1" applyProtection="1">
      <alignment horizontal="center" vertical="center"/>
    </xf>
    <xf numFmtId="0" fontId="14" fillId="0" borderId="48" xfId="0" applyFont="1" applyFill="1" applyBorder="1" applyAlignment="1" applyProtection="1">
      <alignment horizontal="center" vertical="center"/>
    </xf>
    <xf numFmtId="0" fontId="14" fillId="0" borderId="23" xfId="0" applyFont="1" applyFill="1" applyBorder="1" applyAlignment="1" applyProtection="1">
      <alignment horizontal="center" vertical="center"/>
    </xf>
    <xf numFmtId="0" fontId="14" fillId="0" borderId="29" xfId="0" applyFont="1" applyFill="1" applyBorder="1" applyAlignment="1" applyProtection="1">
      <alignment horizontal="center" vertical="center"/>
    </xf>
    <xf numFmtId="0" fontId="14" fillId="0" borderId="46" xfId="0" applyFont="1" applyFill="1" applyBorder="1" applyAlignment="1" applyProtection="1">
      <alignment horizontal="center" vertical="center"/>
    </xf>
    <xf numFmtId="0" fontId="14" fillId="6" borderId="23" xfId="0" applyFont="1" applyFill="1" applyBorder="1" applyAlignment="1" applyProtection="1">
      <alignment horizontal="center" vertical="center"/>
    </xf>
    <xf numFmtId="0" fontId="14" fillId="6" borderId="29" xfId="0" applyFont="1" applyFill="1" applyBorder="1" applyAlignment="1" applyProtection="1">
      <alignment horizontal="center" vertical="center"/>
    </xf>
    <xf numFmtId="0" fontId="14" fillId="6" borderId="46" xfId="0" applyFont="1" applyFill="1" applyBorder="1" applyAlignment="1" applyProtection="1">
      <alignment horizontal="center" vertical="center"/>
    </xf>
    <xf numFmtId="0" fontId="14" fillId="0" borderId="23" xfId="0" applyFont="1" applyFill="1" applyBorder="1" applyAlignment="1" applyProtection="1">
      <alignment horizontal="center" vertical="center"/>
      <protection locked="0"/>
    </xf>
    <xf numFmtId="0" fontId="14" fillId="0" borderId="29" xfId="0" applyFont="1" applyFill="1" applyBorder="1" applyAlignment="1" applyProtection="1">
      <alignment horizontal="center" vertical="center"/>
      <protection locked="0"/>
    </xf>
    <xf numFmtId="0" fontId="14" fillId="0" borderId="46" xfId="0" applyFont="1" applyFill="1" applyBorder="1" applyAlignment="1" applyProtection="1">
      <alignment horizontal="center" vertical="center"/>
      <protection locked="0"/>
    </xf>
    <xf numFmtId="0" fontId="14" fillId="0" borderId="25" xfId="0" applyFont="1" applyBorder="1" applyAlignment="1" applyProtection="1">
      <alignment horizontal="center" vertical="center"/>
      <protection locked="0"/>
    </xf>
    <xf numFmtId="0" fontId="14" fillId="0" borderId="44" xfId="0" applyFont="1" applyBorder="1" applyAlignment="1" applyProtection="1">
      <alignment horizontal="center" vertical="center"/>
      <protection locked="0"/>
    </xf>
    <xf numFmtId="0" fontId="14" fillId="0" borderId="47" xfId="0" applyFont="1" applyBorder="1" applyAlignment="1" applyProtection="1">
      <alignment horizontal="center" vertical="center"/>
      <protection locked="0"/>
    </xf>
    <xf numFmtId="165" fontId="14" fillId="0" borderId="0" xfId="0" applyNumberFormat="1" applyFont="1" applyFill="1" applyBorder="1" applyAlignment="1" applyProtection="1">
      <alignment horizontal="right" vertical="center"/>
    </xf>
    <xf numFmtId="2" fontId="14" fillId="0" borderId="5" xfId="0" applyNumberFormat="1" applyFont="1" applyBorder="1" applyAlignment="1" applyProtection="1">
      <alignment horizontal="right" vertical="center"/>
    </xf>
    <xf numFmtId="0" fontId="23" fillId="0" borderId="0" xfId="0" applyFont="1" applyBorder="1" applyAlignment="1" applyProtection="1">
      <alignment horizontal="right"/>
    </xf>
    <xf numFmtId="0" fontId="7" fillId="0" borderId="0" xfId="0" applyFont="1" applyBorder="1" applyAlignment="1" applyProtection="1">
      <alignment horizontal="center" vertical="top"/>
    </xf>
    <xf numFmtId="0" fontId="7" fillId="0" borderId="9" xfId="0" applyFont="1" applyBorder="1" applyAlignment="1" applyProtection="1">
      <alignment horizontal="center" vertical="top"/>
    </xf>
    <xf numFmtId="0" fontId="14" fillId="0" borderId="45" xfId="0" applyFont="1" applyBorder="1" applyAlignment="1" applyProtection="1">
      <alignment horizontal="center" vertical="center"/>
    </xf>
    <xf numFmtId="0" fontId="14" fillId="0" borderId="46" xfId="0" applyFont="1" applyBorder="1" applyAlignment="1" applyProtection="1">
      <alignment horizontal="center" vertical="center"/>
    </xf>
    <xf numFmtId="0" fontId="14" fillId="0" borderId="47" xfId="0" applyFont="1" applyBorder="1" applyAlignment="1" applyProtection="1">
      <alignment horizontal="center" vertical="center"/>
    </xf>
    <xf numFmtId="0" fontId="14" fillId="0" borderId="41" xfId="0" applyFont="1" applyBorder="1" applyAlignment="1" applyProtection="1">
      <alignment horizontal="center" vertical="center"/>
    </xf>
    <xf numFmtId="0" fontId="14" fillId="0" borderId="43" xfId="0" applyFont="1" applyBorder="1" applyAlignment="1" applyProtection="1">
      <alignment horizontal="center" vertical="center"/>
    </xf>
    <xf numFmtId="0" fontId="14" fillId="1" borderId="1" xfId="0" applyFont="1" applyFill="1" applyBorder="1" applyAlignment="1" applyProtection="1">
      <alignment horizontal="center" vertical="center"/>
    </xf>
    <xf numFmtId="0" fontId="14" fillId="1" borderId="46" xfId="0" applyFont="1" applyFill="1" applyBorder="1" applyAlignment="1" applyProtection="1">
      <alignment horizontal="center" vertical="center"/>
    </xf>
    <xf numFmtId="0" fontId="14" fillId="1" borderId="2" xfId="0" applyFont="1" applyFill="1" applyBorder="1" applyAlignment="1" applyProtection="1">
      <alignment horizontal="center" vertical="center"/>
    </xf>
    <xf numFmtId="0" fontId="14" fillId="8" borderId="10" xfId="0" applyFont="1" applyFill="1" applyBorder="1" applyAlignment="1" applyProtection="1">
      <alignment horizontal="center" vertical="center"/>
    </xf>
    <xf numFmtId="0" fontId="26" fillId="5" borderId="24" xfId="0" applyFont="1" applyFill="1" applyBorder="1" applyAlignment="1" applyProtection="1">
      <alignment horizontal="center"/>
      <protection locked="0"/>
    </xf>
    <xf numFmtId="0" fontId="26" fillId="5" borderId="34" xfId="0" applyFont="1" applyFill="1" applyBorder="1" applyAlignment="1" applyProtection="1">
      <alignment horizontal="center"/>
      <protection locked="0"/>
    </xf>
    <xf numFmtId="0" fontId="30" fillId="9" borderId="0" xfId="0" applyFont="1" applyFill="1" applyBorder="1" applyAlignment="1" applyProtection="1">
      <alignment horizontal="left" vertical="center"/>
    </xf>
    <xf numFmtId="0" fontId="23" fillId="0" borderId="6" xfId="0" applyFont="1" applyBorder="1" applyAlignment="1" applyProtection="1">
      <alignment horizontal="left"/>
    </xf>
    <xf numFmtId="0" fontId="0" fillId="0" borderId="7" xfId="0" applyBorder="1" applyProtection="1"/>
    <xf numFmtId="0" fontId="0" fillId="0" borderId="1" xfId="0" applyBorder="1" applyProtection="1"/>
    <xf numFmtId="2" fontId="29" fillId="0" borderId="26" xfId="0" applyNumberFormat="1" applyFont="1" applyFill="1" applyBorder="1" applyAlignment="1" applyProtection="1">
      <alignment horizontal="right" vertical="center"/>
      <protection locked="0"/>
    </xf>
    <xf numFmtId="2" fontId="14" fillId="0" borderId="10" xfId="0" applyNumberFormat="1" applyFont="1" applyFill="1" applyBorder="1" applyAlignment="1" applyProtection="1">
      <alignment horizontal="center" vertical="center"/>
      <protection locked="0"/>
    </xf>
    <xf numFmtId="2" fontId="14" fillId="0" borderId="26" xfId="0" applyNumberFormat="1" applyFont="1" applyFill="1" applyBorder="1" applyAlignment="1" applyProtection="1">
      <alignment horizontal="center" vertical="center"/>
      <protection locked="0"/>
    </xf>
    <xf numFmtId="2" fontId="14" fillId="0" borderId="27" xfId="0" applyNumberFormat="1" applyFont="1" applyFill="1" applyBorder="1" applyAlignment="1" applyProtection="1">
      <alignment horizontal="center" vertical="center"/>
      <protection locked="0"/>
    </xf>
    <xf numFmtId="0" fontId="14" fillId="0" borderId="32" xfId="0" applyFont="1" applyBorder="1" applyAlignment="1" applyProtection="1">
      <alignment horizontal="center"/>
      <protection locked="0"/>
    </xf>
    <xf numFmtId="0" fontId="14" fillId="0" borderId="43" xfId="0" applyFont="1" applyFill="1" applyBorder="1" applyAlignment="1" applyProtection="1">
      <alignment horizontal="center" vertical="center"/>
    </xf>
    <xf numFmtId="0" fontId="14" fillId="0" borderId="43" xfId="0" applyFont="1" applyBorder="1" applyAlignment="1" applyProtection="1">
      <alignment horizontal="center"/>
      <protection locked="0"/>
    </xf>
    <xf numFmtId="0" fontId="14" fillId="0" borderId="51" xfId="0" applyFont="1" applyFill="1" applyBorder="1" applyAlignment="1" applyProtection="1">
      <alignment horizontal="center" vertical="center"/>
    </xf>
    <xf numFmtId="0" fontId="29" fillId="0" borderId="52" xfId="0" applyFont="1" applyFill="1" applyBorder="1" applyAlignment="1" applyProtection="1">
      <alignment horizontal="right" vertical="center"/>
      <protection locked="0"/>
    </xf>
    <xf numFmtId="0" fontId="29" fillId="0" borderId="7" xfId="0" applyFont="1" applyFill="1" applyBorder="1" applyAlignment="1" applyProtection="1">
      <alignment horizontal="right" vertical="center"/>
      <protection locked="0"/>
    </xf>
    <xf numFmtId="0" fontId="29" fillId="0" borderId="21" xfId="0" applyFont="1" applyFill="1" applyBorder="1" applyAlignment="1" applyProtection="1">
      <alignment horizontal="right" vertical="center"/>
      <protection locked="0"/>
    </xf>
    <xf numFmtId="0" fontId="29" fillId="0" borderId="34" xfId="0" applyFont="1" applyFill="1" applyBorder="1" applyAlignment="1" applyProtection="1">
      <alignment horizontal="right" vertical="center"/>
      <protection locked="0"/>
    </xf>
    <xf numFmtId="0" fontId="29" fillId="0" borderId="45" xfId="0" applyFont="1" applyFill="1" applyBorder="1" applyAlignment="1" applyProtection="1">
      <alignment horizontal="right" vertical="center"/>
      <protection locked="0"/>
    </xf>
    <xf numFmtId="0" fontId="29" fillId="0" borderId="48" xfId="0" applyFont="1" applyFill="1" applyBorder="1" applyAlignment="1" applyProtection="1">
      <alignment horizontal="right" vertical="center"/>
      <protection locked="0"/>
    </xf>
    <xf numFmtId="0" fontId="29" fillId="0" borderId="53" xfId="0" applyFont="1" applyFill="1" applyBorder="1" applyAlignment="1" applyProtection="1">
      <alignment horizontal="right" vertical="center"/>
      <protection locked="0"/>
    </xf>
    <xf numFmtId="0" fontId="29" fillId="0" borderId="26" xfId="0" applyFont="1" applyFill="1" applyBorder="1" applyAlignment="1" applyProtection="1">
      <alignment horizontal="right" vertical="center"/>
      <protection locked="0"/>
    </xf>
    <xf numFmtId="0" fontId="29" fillId="0" borderId="47" xfId="0" applyFont="1" applyFill="1" applyBorder="1" applyAlignment="1" applyProtection="1">
      <alignment horizontal="right" vertical="center"/>
      <protection locked="0"/>
    </xf>
    <xf numFmtId="164" fontId="29" fillId="0" borderId="29" xfId="0" applyNumberFormat="1" applyFont="1" applyFill="1" applyBorder="1" applyAlignment="1" applyProtection="1">
      <alignment horizontal="right" vertical="center"/>
      <protection locked="0"/>
    </xf>
    <xf numFmtId="164" fontId="14" fillId="0" borderId="2" xfId="0" applyNumberFormat="1" applyFont="1" applyFill="1" applyBorder="1" applyAlignment="1" applyProtection="1">
      <alignment horizontal="center" vertical="center"/>
      <protection locked="0"/>
    </xf>
    <xf numFmtId="164" fontId="14" fillId="0" borderId="24" xfId="0" applyNumberFormat="1" applyFont="1" applyFill="1" applyBorder="1" applyAlignment="1" applyProtection="1">
      <alignment horizontal="center" vertical="center"/>
      <protection locked="0"/>
    </xf>
    <xf numFmtId="164" fontId="14" fillId="0" borderId="19" xfId="0" applyNumberFormat="1" applyFont="1" applyFill="1" applyBorder="1" applyAlignment="1" applyProtection="1">
      <alignment horizontal="center" vertical="center"/>
      <protection locked="0"/>
    </xf>
    <xf numFmtId="1" fontId="29" fillId="0" borderId="29" xfId="0" quotePrefix="1" applyNumberFormat="1" applyFont="1" applyBorder="1" applyAlignment="1" applyProtection="1">
      <alignment horizontal="right" vertical="center"/>
      <protection locked="0"/>
    </xf>
    <xf numFmtId="1" fontId="29" fillId="0" borderId="24" xfId="0" applyNumberFormat="1" applyFont="1" applyFill="1" applyBorder="1" applyAlignment="1" applyProtection="1">
      <alignment horizontal="right" vertical="center"/>
      <protection locked="0"/>
    </xf>
    <xf numFmtId="1" fontId="14" fillId="0" borderId="2" xfId="0" quotePrefix="1" applyNumberFormat="1" applyFont="1" applyBorder="1" applyAlignment="1" applyProtection="1">
      <alignment horizontal="center" vertical="center"/>
      <protection locked="0"/>
    </xf>
    <xf numFmtId="1" fontId="14" fillId="0" borderId="24" xfId="0" quotePrefix="1" applyNumberFormat="1" applyFont="1" applyBorder="1" applyAlignment="1" applyProtection="1">
      <alignment horizontal="center" vertical="center"/>
      <protection locked="0"/>
    </xf>
    <xf numFmtId="1" fontId="14" fillId="0" borderId="19" xfId="0" quotePrefix="1" applyNumberFormat="1" applyFont="1" applyBorder="1" applyAlignment="1" applyProtection="1">
      <alignment horizontal="center" vertical="center"/>
      <protection locked="0"/>
    </xf>
    <xf numFmtId="0" fontId="13" fillId="4" borderId="36" xfId="0" applyFont="1" applyFill="1" applyBorder="1" applyAlignment="1" applyProtection="1">
      <alignment horizontal="center" wrapText="1"/>
    </xf>
    <xf numFmtId="0" fontId="13" fillId="4" borderId="37" xfId="0" applyFont="1" applyFill="1" applyBorder="1" applyAlignment="1" applyProtection="1">
      <alignment horizontal="center" wrapText="1"/>
    </xf>
    <xf numFmtId="0" fontId="13" fillId="4" borderId="38" xfId="0" applyFont="1" applyFill="1" applyBorder="1" applyAlignment="1" applyProtection="1">
      <alignment horizontal="center" wrapText="1"/>
    </xf>
    <xf numFmtId="0" fontId="29" fillId="0" borderId="4" xfId="0" applyFont="1" applyBorder="1" applyAlignment="1" applyProtection="1">
      <alignment horizontal="center" vertical="center" wrapText="1"/>
      <protection locked="0"/>
    </xf>
    <xf numFmtId="0" fontId="29" fillId="0" borderId="11" xfId="0" applyFont="1" applyBorder="1" applyAlignment="1" applyProtection="1">
      <alignment horizontal="center" vertical="center" wrapText="1"/>
      <protection locked="0"/>
    </xf>
    <xf numFmtId="0" fontId="29" fillId="0" borderId="8" xfId="0" applyFont="1" applyBorder="1" applyAlignment="1" applyProtection="1">
      <alignment horizontal="center" vertical="center" wrapText="1"/>
      <protection locked="0"/>
    </xf>
    <xf numFmtId="0" fontId="29" fillId="0" borderId="13" xfId="0" applyFont="1" applyBorder="1" applyAlignment="1" applyProtection="1">
      <alignment horizontal="center" vertical="center" wrapText="1"/>
      <protection locked="0"/>
    </xf>
    <xf numFmtId="0" fontId="0" fillId="0" borderId="6" xfId="0" applyFont="1" applyBorder="1" applyAlignment="1" applyProtection="1">
      <alignment horizontal="center" vertical="top"/>
    </xf>
    <xf numFmtId="0" fontId="0" fillId="0" borderId="0" xfId="0" applyFont="1" applyBorder="1" applyAlignment="1" applyProtection="1">
      <alignment horizontal="center" vertical="top"/>
    </xf>
    <xf numFmtId="0" fontId="33" fillId="0" borderId="7" xfId="0" applyFont="1" applyBorder="1" applyAlignment="1" applyProtection="1">
      <alignment horizontal="center"/>
      <protection locked="0"/>
    </xf>
    <xf numFmtId="0" fontId="33" fillId="0" borderId="1" xfId="0" applyFont="1" applyBorder="1" applyAlignment="1" applyProtection="1">
      <alignment horizontal="center"/>
      <protection locked="0"/>
    </xf>
    <xf numFmtId="0" fontId="0" fillId="0" borderId="6" xfId="0" applyBorder="1" applyAlignment="1" applyProtection="1">
      <alignment horizontal="center"/>
    </xf>
    <xf numFmtId="0" fontId="0" fillId="0" borderId="0" xfId="0" applyBorder="1" applyAlignment="1" applyProtection="1">
      <alignment horizontal="center"/>
    </xf>
    <xf numFmtId="0" fontId="0" fillId="0" borderId="12" xfId="0" applyBorder="1" applyAlignment="1" applyProtection="1">
      <alignment horizontal="center"/>
    </xf>
    <xf numFmtId="16" fontId="33" fillId="0" borderId="1" xfId="0" applyNumberFormat="1" applyFont="1" applyBorder="1" applyAlignment="1" applyProtection="1">
      <alignment horizontal="center"/>
      <protection locked="0"/>
    </xf>
    <xf numFmtId="0" fontId="33" fillId="0" borderId="16" xfId="0" applyFont="1" applyBorder="1" applyAlignment="1" applyProtection="1">
      <alignment horizontal="center"/>
      <protection locked="0"/>
    </xf>
    <xf numFmtId="0" fontId="0" fillId="0" borderId="3" xfId="0" applyFont="1" applyBorder="1" applyAlignment="1" applyProtection="1">
      <alignment horizontal="center" vertical="top"/>
    </xf>
    <xf numFmtId="0" fontId="0" fillId="0" borderId="17" xfId="0" applyFont="1" applyBorder="1" applyAlignment="1" applyProtection="1">
      <alignment horizontal="center" vertical="top"/>
    </xf>
    <xf numFmtId="0" fontId="14" fillId="0" borderId="5" xfId="0" applyFont="1" applyBorder="1" applyAlignment="1" applyProtection="1">
      <alignment horizontal="center"/>
    </xf>
    <xf numFmtId="0" fontId="26" fillId="0" borderId="28" xfId="0" applyFont="1" applyFill="1" applyBorder="1" applyAlignment="1" applyProtection="1">
      <alignment horizontal="center"/>
      <protection locked="0"/>
    </xf>
    <xf numFmtId="0" fontId="26" fillId="0" borderId="2" xfId="0" applyFont="1" applyFill="1" applyBorder="1" applyAlignment="1" applyProtection="1">
      <alignment horizontal="center"/>
      <protection locked="0"/>
    </xf>
    <xf numFmtId="0" fontId="26" fillId="0" borderId="29" xfId="0" applyFont="1" applyFill="1" applyBorder="1" applyAlignment="1" applyProtection="1">
      <alignment horizontal="center"/>
      <protection locked="0"/>
    </xf>
    <xf numFmtId="0" fontId="6" fillId="0" borderId="0" xfId="0" applyFont="1" applyFill="1" applyBorder="1" applyAlignment="1" applyProtection="1">
      <alignment horizontal="left"/>
    </xf>
    <xf numFmtId="0" fontId="26" fillId="5" borderId="28" xfId="0" applyFont="1" applyFill="1" applyBorder="1" applyAlignment="1" applyProtection="1">
      <protection locked="0"/>
    </xf>
    <xf numFmtId="0" fontId="0" fillId="0" borderId="2" xfId="0" applyBorder="1" applyProtection="1">
      <protection locked="0"/>
    </xf>
    <xf numFmtId="0" fontId="0" fillId="0" borderId="29" xfId="0" applyBorder="1" applyProtection="1">
      <protection locked="0"/>
    </xf>
    <xf numFmtId="0" fontId="26" fillId="5" borderId="28" xfId="0" applyFont="1" applyFill="1" applyBorder="1" applyAlignment="1" applyProtection="1">
      <alignment horizontal="center"/>
      <protection locked="0"/>
    </xf>
    <xf numFmtId="0" fontId="26" fillId="5" borderId="29" xfId="0" applyFont="1" applyFill="1" applyBorder="1" applyAlignment="1" applyProtection="1">
      <protection locked="0"/>
    </xf>
    <xf numFmtId="0" fontId="7" fillId="0" borderId="3" xfId="0" applyFont="1" applyBorder="1" applyAlignment="1" applyProtection="1">
      <alignment horizontal="center" vertical="top"/>
    </xf>
    <xf numFmtId="0" fontId="0" fillId="0" borderId="0" xfId="0" applyBorder="1" applyAlignment="1" applyProtection="1">
      <alignment horizontal="left"/>
    </xf>
    <xf numFmtId="0" fontId="26" fillId="5" borderId="50" xfId="0" applyFont="1" applyFill="1" applyBorder="1" applyAlignment="1" applyProtection="1">
      <alignment horizontal="center"/>
      <protection locked="0"/>
    </xf>
    <xf numFmtId="0" fontId="26" fillId="5" borderId="2" xfId="0" applyFont="1" applyFill="1" applyBorder="1" applyAlignment="1" applyProtection="1">
      <alignment horizontal="center"/>
      <protection locked="0"/>
    </xf>
    <xf numFmtId="0" fontId="26" fillId="5" borderId="29" xfId="0" applyFont="1" applyFill="1" applyBorder="1" applyAlignment="1" applyProtection="1">
      <alignment horizontal="center"/>
      <protection locked="0"/>
    </xf>
    <xf numFmtId="0" fontId="32" fillId="3" borderId="6" xfId="0" applyFont="1" applyFill="1" applyBorder="1" applyAlignment="1" applyProtection="1">
      <alignment horizontal="left" wrapText="1"/>
    </xf>
    <xf numFmtId="0" fontId="32" fillId="3" borderId="0" xfId="0" applyFont="1" applyFill="1" applyBorder="1" applyAlignment="1" applyProtection="1">
      <alignment horizontal="left" wrapText="1"/>
    </xf>
    <xf numFmtId="0" fontId="32" fillId="3" borderId="12" xfId="0" applyFont="1" applyFill="1" applyBorder="1" applyAlignment="1" applyProtection="1">
      <alignment horizontal="left" wrapText="1"/>
    </xf>
    <xf numFmtId="0" fontId="9" fillId="0" borderId="0" xfId="0" applyFont="1" applyFill="1" applyBorder="1" applyAlignment="1" applyProtection="1">
      <alignment horizontal="center" vertical="top"/>
    </xf>
    <xf numFmtId="0" fontId="0" fillId="0" borderId="0" xfId="0" applyFill="1" applyBorder="1" applyAlignment="1" applyProtection="1">
      <alignment horizontal="center"/>
    </xf>
    <xf numFmtId="0" fontId="0" fillId="0" borderId="0" xfId="0" applyFont="1" applyFill="1" applyBorder="1" applyAlignment="1" applyProtection="1">
      <alignment horizontal="center"/>
    </xf>
    <xf numFmtId="0" fontId="14" fillId="0" borderId="36" xfId="0" applyFont="1" applyBorder="1" applyAlignment="1" applyProtection="1">
      <alignment horizontal="center"/>
      <protection locked="0"/>
    </xf>
    <xf numFmtId="0" fontId="14" fillId="0" borderId="37" xfId="0" applyFont="1" applyBorder="1" applyAlignment="1" applyProtection="1">
      <alignment horizontal="center"/>
      <protection locked="0"/>
    </xf>
    <xf numFmtId="0" fontId="14" fillId="0" borderId="38" xfId="0" applyFont="1" applyBorder="1" applyAlignment="1" applyProtection="1">
      <alignment horizontal="center"/>
      <protection locked="0"/>
    </xf>
    <xf numFmtId="0" fontId="23" fillId="0" borderId="36" xfId="0" applyFont="1" applyBorder="1" applyAlignment="1" applyProtection="1">
      <alignment horizontal="center"/>
      <protection locked="0"/>
    </xf>
    <xf numFmtId="0" fontId="23" fillId="0" borderId="37" xfId="0" applyFont="1" applyBorder="1" applyAlignment="1" applyProtection="1">
      <alignment horizontal="center"/>
      <protection locked="0"/>
    </xf>
    <xf numFmtId="0" fontId="23" fillId="0" borderId="38" xfId="0" applyFont="1" applyBorder="1" applyAlignment="1" applyProtection="1">
      <alignment horizontal="center"/>
      <protection locked="0"/>
    </xf>
    <xf numFmtId="0" fontId="23" fillId="0" borderId="0" xfId="0" applyFont="1" applyBorder="1" applyAlignment="1" applyProtection="1">
      <alignment horizontal="right"/>
    </xf>
    <xf numFmtId="0" fontId="6" fillId="0" borderId="0" xfId="0" applyFont="1" applyFill="1" applyBorder="1" applyAlignment="1" applyProtection="1">
      <alignment horizontal="left" vertical="top"/>
    </xf>
    <xf numFmtId="0" fontId="7" fillId="0" borderId="6" xfId="0" applyFont="1" applyBorder="1" applyAlignment="1" applyProtection="1">
      <alignment horizontal="center" vertical="top"/>
    </xf>
    <xf numFmtId="0" fontId="7" fillId="0" borderId="0" xfId="0" applyFont="1" applyBorder="1" applyAlignment="1" applyProtection="1">
      <alignment horizontal="center" vertical="top"/>
    </xf>
    <xf numFmtId="0" fontId="2" fillId="0" borderId="14" xfId="0" applyFont="1" applyBorder="1" applyAlignment="1" applyProtection="1">
      <alignment horizontal="left"/>
    </xf>
    <xf numFmtId="0" fontId="2" fillId="0" borderId="0" xfId="0" applyFont="1" applyBorder="1" applyAlignment="1" applyProtection="1">
      <alignment horizontal="left"/>
    </xf>
    <xf numFmtId="0" fontId="1" fillId="0" borderId="0" xfId="0" applyFont="1" applyFill="1" applyBorder="1" applyAlignment="1" applyProtection="1">
      <alignment horizontal="center" vertical="top" wrapText="1"/>
    </xf>
    <xf numFmtId="0" fontId="23" fillId="0" borderId="5" xfId="0" applyFont="1" applyBorder="1" applyAlignment="1" applyProtection="1">
      <alignment horizontal="right"/>
    </xf>
    <xf numFmtId="0" fontId="28" fillId="0" borderId="36" xfId="0" applyFont="1" applyBorder="1" applyAlignment="1" applyProtection="1">
      <alignment horizontal="center"/>
    </xf>
    <xf numFmtId="0" fontId="28" fillId="0" borderId="37" xfId="0" applyFont="1" applyBorder="1" applyAlignment="1" applyProtection="1">
      <alignment horizontal="center"/>
    </xf>
    <xf numFmtId="0" fontId="28" fillId="0" borderId="38" xfId="0" applyFont="1" applyBorder="1" applyAlignment="1" applyProtection="1">
      <alignment horizontal="center"/>
    </xf>
    <xf numFmtId="0" fontId="14" fillId="0" borderId="36" xfId="0" applyFont="1" applyBorder="1" applyAlignment="1" applyProtection="1">
      <alignment horizontal="center" vertical="center" wrapText="1"/>
    </xf>
    <xf numFmtId="0" fontId="14" fillId="0" borderId="37" xfId="0" applyFont="1" applyBorder="1" applyAlignment="1" applyProtection="1">
      <alignment horizontal="center" vertical="center" wrapText="1"/>
    </xf>
    <xf numFmtId="0" fontId="14" fillId="0" borderId="38" xfId="0" applyFont="1" applyBorder="1" applyAlignment="1" applyProtection="1">
      <alignment horizontal="center" vertical="center" wrapText="1"/>
    </xf>
    <xf numFmtId="0" fontId="24" fillId="0" borderId="6" xfId="0" applyFont="1" applyBorder="1" applyAlignment="1" applyProtection="1">
      <alignment horizontal="left"/>
    </xf>
    <xf numFmtId="0" fontId="24" fillId="0" borderId="0" xfId="0" applyFont="1" applyBorder="1" applyAlignment="1" applyProtection="1">
      <alignment horizontal="left"/>
    </xf>
    <xf numFmtId="0" fontId="23" fillId="4" borderId="6" xfId="0" applyFont="1" applyFill="1" applyBorder="1" applyAlignment="1" applyProtection="1">
      <alignment horizontal="left" vertical="top"/>
    </xf>
    <xf numFmtId="0" fontId="23" fillId="4" borderId="0" xfId="0" applyFont="1" applyFill="1" applyBorder="1" applyAlignment="1" applyProtection="1">
      <alignment horizontal="left" vertical="top"/>
    </xf>
    <xf numFmtId="0" fontId="23" fillId="4" borderId="12" xfId="0" applyFont="1" applyFill="1" applyBorder="1" applyAlignment="1" applyProtection="1">
      <alignment horizontal="left" vertical="top"/>
    </xf>
    <xf numFmtId="0" fontId="23" fillId="4" borderId="7" xfId="0" applyFont="1" applyFill="1" applyBorder="1" applyAlignment="1" applyProtection="1">
      <alignment horizontal="left" vertical="top"/>
    </xf>
    <xf numFmtId="0" fontId="23" fillId="4" borderId="1" xfId="0" applyFont="1" applyFill="1" applyBorder="1" applyAlignment="1" applyProtection="1">
      <alignment horizontal="left" vertical="top"/>
    </xf>
    <xf numFmtId="0" fontId="23" fillId="4" borderId="16" xfId="0" applyFont="1" applyFill="1" applyBorder="1" applyAlignment="1" applyProtection="1">
      <alignment horizontal="left" vertical="top"/>
    </xf>
    <xf numFmtId="0" fontId="27" fillId="2" borderId="11" xfId="0" applyFont="1" applyFill="1" applyBorder="1" applyAlignment="1" applyProtection="1">
      <alignment horizontal="center" vertical="center" wrapText="1"/>
    </xf>
    <xf numFmtId="0" fontId="27" fillId="2" borderId="12" xfId="0" applyFont="1" applyFill="1" applyBorder="1" applyAlignment="1" applyProtection="1">
      <alignment horizontal="center" vertical="center" wrapText="1"/>
    </xf>
    <xf numFmtId="0" fontId="27" fillId="2" borderId="16" xfId="0" applyFont="1" applyFill="1" applyBorder="1" applyAlignment="1" applyProtection="1">
      <alignment horizontal="center" vertical="center" wrapText="1"/>
    </xf>
    <xf numFmtId="0" fontId="23" fillId="0" borderId="14" xfId="0" applyFont="1" applyFill="1" applyBorder="1" applyAlignment="1" applyProtection="1">
      <alignment horizontal="center"/>
    </xf>
    <xf numFmtId="0" fontId="23" fillId="0" borderId="32" xfId="0" applyFont="1" applyFill="1" applyBorder="1" applyAlignment="1" applyProtection="1">
      <alignment horizontal="center"/>
    </xf>
    <xf numFmtId="0" fontId="0" fillId="0" borderId="0" xfId="0" applyFont="1" applyFill="1" applyBorder="1" applyAlignment="1" applyProtection="1">
      <alignment horizontal="left"/>
    </xf>
    <xf numFmtId="0" fontId="23" fillId="0" borderId="1" xfId="0" applyFont="1" applyBorder="1" applyAlignment="1" applyProtection="1">
      <alignment horizontal="center" vertical="top"/>
    </xf>
    <xf numFmtId="0" fontId="23" fillId="0" borderId="2" xfId="0" applyFont="1" applyBorder="1" applyAlignment="1" applyProtection="1">
      <alignment horizontal="center" vertical="top"/>
    </xf>
    <xf numFmtId="0" fontId="23" fillId="0" borderId="0" xfId="0" applyFont="1" applyFill="1" applyBorder="1" applyAlignment="1" applyProtection="1">
      <alignment horizontal="right"/>
    </xf>
    <xf numFmtId="0" fontId="23" fillId="0" borderId="32" xfId="0" applyFont="1" applyFill="1" applyBorder="1" applyAlignment="1" applyProtection="1">
      <alignment horizontal="right"/>
    </xf>
    <xf numFmtId="0" fontId="26" fillId="0" borderId="28" xfId="0" applyFont="1" applyBorder="1" applyAlignment="1" applyProtection="1">
      <alignment horizontal="center"/>
      <protection locked="0"/>
    </xf>
    <xf numFmtId="0" fontId="26" fillId="0" borderId="29" xfId="0" applyFont="1" applyBorder="1" applyAlignment="1" applyProtection="1">
      <alignment horizontal="center"/>
      <protection locked="0"/>
    </xf>
  </cellXfs>
  <cellStyles count="14">
    <cellStyle name="Comma0" xfId="2"/>
    <cellStyle name="Currency0" xfId="3"/>
    <cellStyle name="Date" xfId="4"/>
    <cellStyle name="Fixed" xfId="5"/>
    <cellStyle name="Heading 1 2" xfId="6"/>
    <cellStyle name="Heading 2 2" xfId="7"/>
    <cellStyle name="Normal" xfId="0" builtinId="0"/>
    <cellStyle name="Normal 2" xfId="8"/>
    <cellStyle name="Normal 2 2" xfId="12"/>
    <cellStyle name="Normal 2 3" xfId="10"/>
    <cellStyle name="Normal 3" xfId="11"/>
    <cellStyle name="Normal 3 2" xfId="13"/>
    <cellStyle name="Normal 4" xfId="1"/>
    <cellStyle name="Total 2" xfId="9"/>
  </cellStyles>
  <dxfs count="319">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tabColor rgb="FFFFC000"/>
    <pageSetUpPr fitToPage="1"/>
  </sheetPr>
  <dimension ref="B1:FK117"/>
  <sheetViews>
    <sheetView showGridLines="0" tabSelected="1" zoomScale="50" zoomScaleNormal="50" workbookViewId="0">
      <selection activeCell="I43" sqref="I42:I43"/>
    </sheetView>
  </sheetViews>
  <sheetFormatPr defaultRowHeight="15"/>
  <cols>
    <col min="1" max="1" width="4.28515625" customWidth="1"/>
    <col min="2" max="2" width="44.5703125" customWidth="1"/>
    <col min="3" max="3" width="9.140625" customWidth="1"/>
    <col min="4" max="19" width="12.7109375" customWidth="1"/>
    <col min="20" max="20" width="14.7109375" style="1" customWidth="1"/>
    <col min="21" max="167" width="9.140625" style="1"/>
    <col min="259" max="259" width="21.7109375" customWidth="1"/>
    <col min="260" max="261" width="10.7109375" customWidth="1"/>
    <col min="262" max="272" width="9.7109375" customWidth="1"/>
    <col min="273" max="273" width="12.7109375" customWidth="1"/>
    <col min="515" max="515" width="21.7109375" customWidth="1"/>
    <col min="516" max="517" width="10.7109375" customWidth="1"/>
    <col min="518" max="528" width="9.7109375" customWidth="1"/>
    <col min="529" max="529" width="12.7109375" customWidth="1"/>
    <col min="771" max="771" width="21.7109375" customWidth="1"/>
    <col min="772" max="773" width="10.7109375" customWidth="1"/>
    <col min="774" max="784" width="9.7109375" customWidth="1"/>
    <col min="785" max="785" width="12.7109375" customWidth="1"/>
    <col min="1027" max="1027" width="21.7109375" customWidth="1"/>
    <col min="1028" max="1029" width="10.7109375" customWidth="1"/>
    <col min="1030" max="1040" width="9.7109375" customWidth="1"/>
    <col min="1041" max="1041" width="12.7109375" customWidth="1"/>
    <col min="1283" max="1283" width="21.7109375" customWidth="1"/>
    <col min="1284" max="1285" width="10.7109375" customWidth="1"/>
    <col min="1286" max="1296" width="9.7109375" customWidth="1"/>
    <col min="1297" max="1297" width="12.7109375" customWidth="1"/>
    <col min="1539" max="1539" width="21.7109375" customWidth="1"/>
    <col min="1540" max="1541" width="10.7109375" customWidth="1"/>
    <col min="1542" max="1552" width="9.7109375" customWidth="1"/>
    <col min="1553" max="1553" width="12.7109375" customWidth="1"/>
    <col min="1795" max="1795" width="21.7109375" customWidth="1"/>
    <col min="1796" max="1797" width="10.7109375" customWidth="1"/>
    <col min="1798" max="1808" width="9.7109375" customWidth="1"/>
    <col min="1809" max="1809" width="12.7109375" customWidth="1"/>
    <col min="2051" max="2051" width="21.7109375" customWidth="1"/>
    <col min="2052" max="2053" width="10.7109375" customWidth="1"/>
    <col min="2054" max="2064" width="9.7109375" customWidth="1"/>
    <col min="2065" max="2065" width="12.7109375" customWidth="1"/>
    <col min="2307" max="2307" width="21.7109375" customWidth="1"/>
    <col min="2308" max="2309" width="10.7109375" customWidth="1"/>
    <col min="2310" max="2320" width="9.7109375" customWidth="1"/>
    <col min="2321" max="2321" width="12.7109375" customWidth="1"/>
    <col min="2563" max="2563" width="21.7109375" customWidth="1"/>
    <col min="2564" max="2565" width="10.7109375" customWidth="1"/>
    <col min="2566" max="2576" width="9.7109375" customWidth="1"/>
    <col min="2577" max="2577" width="12.7109375" customWidth="1"/>
    <col min="2819" max="2819" width="21.7109375" customWidth="1"/>
    <col min="2820" max="2821" width="10.7109375" customWidth="1"/>
    <col min="2822" max="2832" width="9.7109375" customWidth="1"/>
    <col min="2833" max="2833" width="12.7109375" customWidth="1"/>
    <col min="3075" max="3075" width="21.7109375" customWidth="1"/>
    <col min="3076" max="3077" width="10.7109375" customWidth="1"/>
    <col min="3078" max="3088" width="9.7109375" customWidth="1"/>
    <col min="3089" max="3089" width="12.7109375" customWidth="1"/>
    <col min="3331" max="3331" width="21.7109375" customWidth="1"/>
    <col min="3332" max="3333" width="10.7109375" customWidth="1"/>
    <col min="3334" max="3344" width="9.7109375" customWidth="1"/>
    <col min="3345" max="3345" width="12.7109375" customWidth="1"/>
    <col min="3587" max="3587" width="21.7109375" customWidth="1"/>
    <col min="3588" max="3589" width="10.7109375" customWidth="1"/>
    <col min="3590" max="3600" width="9.7109375" customWidth="1"/>
    <col min="3601" max="3601" width="12.7109375" customWidth="1"/>
    <col min="3843" max="3843" width="21.7109375" customWidth="1"/>
    <col min="3844" max="3845" width="10.7109375" customWidth="1"/>
    <col min="3846" max="3856" width="9.7109375" customWidth="1"/>
    <col min="3857" max="3857" width="12.7109375" customWidth="1"/>
    <col min="4099" max="4099" width="21.7109375" customWidth="1"/>
    <col min="4100" max="4101" width="10.7109375" customWidth="1"/>
    <col min="4102" max="4112" width="9.7109375" customWidth="1"/>
    <col min="4113" max="4113" width="12.7109375" customWidth="1"/>
    <col min="4355" max="4355" width="21.7109375" customWidth="1"/>
    <col min="4356" max="4357" width="10.7109375" customWidth="1"/>
    <col min="4358" max="4368" width="9.7109375" customWidth="1"/>
    <col min="4369" max="4369" width="12.7109375" customWidth="1"/>
    <col min="4611" max="4611" width="21.7109375" customWidth="1"/>
    <col min="4612" max="4613" width="10.7109375" customWidth="1"/>
    <col min="4614" max="4624" width="9.7109375" customWidth="1"/>
    <col min="4625" max="4625" width="12.7109375" customWidth="1"/>
    <col min="4867" max="4867" width="21.7109375" customWidth="1"/>
    <col min="4868" max="4869" width="10.7109375" customWidth="1"/>
    <col min="4870" max="4880" width="9.7109375" customWidth="1"/>
    <col min="4881" max="4881" width="12.7109375" customWidth="1"/>
    <col min="5123" max="5123" width="21.7109375" customWidth="1"/>
    <col min="5124" max="5125" width="10.7109375" customWidth="1"/>
    <col min="5126" max="5136" width="9.7109375" customWidth="1"/>
    <col min="5137" max="5137" width="12.7109375" customWidth="1"/>
    <col min="5379" max="5379" width="21.7109375" customWidth="1"/>
    <col min="5380" max="5381" width="10.7109375" customWidth="1"/>
    <col min="5382" max="5392" width="9.7109375" customWidth="1"/>
    <col min="5393" max="5393" width="12.7109375" customWidth="1"/>
    <col min="5635" max="5635" width="21.7109375" customWidth="1"/>
    <col min="5636" max="5637" width="10.7109375" customWidth="1"/>
    <col min="5638" max="5648" width="9.7109375" customWidth="1"/>
    <col min="5649" max="5649" width="12.7109375" customWidth="1"/>
    <col min="5891" max="5891" width="21.7109375" customWidth="1"/>
    <col min="5892" max="5893" width="10.7109375" customWidth="1"/>
    <col min="5894" max="5904" width="9.7109375" customWidth="1"/>
    <col min="5905" max="5905" width="12.7109375" customWidth="1"/>
    <col min="6147" max="6147" width="21.7109375" customWidth="1"/>
    <col min="6148" max="6149" width="10.7109375" customWidth="1"/>
    <col min="6150" max="6160" width="9.7109375" customWidth="1"/>
    <col min="6161" max="6161" width="12.7109375" customWidth="1"/>
    <col min="6403" max="6403" width="21.7109375" customWidth="1"/>
    <col min="6404" max="6405" width="10.7109375" customWidth="1"/>
    <col min="6406" max="6416" width="9.7109375" customWidth="1"/>
    <col min="6417" max="6417" width="12.7109375" customWidth="1"/>
    <col min="6659" max="6659" width="21.7109375" customWidth="1"/>
    <col min="6660" max="6661" width="10.7109375" customWidth="1"/>
    <col min="6662" max="6672" width="9.7109375" customWidth="1"/>
    <col min="6673" max="6673" width="12.7109375" customWidth="1"/>
    <col min="6915" max="6915" width="21.7109375" customWidth="1"/>
    <col min="6916" max="6917" width="10.7109375" customWidth="1"/>
    <col min="6918" max="6928" width="9.7109375" customWidth="1"/>
    <col min="6929" max="6929" width="12.7109375" customWidth="1"/>
    <col min="7171" max="7171" width="21.7109375" customWidth="1"/>
    <col min="7172" max="7173" width="10.7109375" customWidth="1"/>
    <col min="7174" max="7184" width="9.7109375" customWidth="1"/>
    <col min="7185" max="7185" width="12.7109375" customWidth="1"/>
    <col min="7427" max="7427" width="21.7109375" customWidth="1"/>
    <col min="7428" max="7429" width="10.7109375" customWidth="1"/>
    <col min="7430" max="7440" width="9.7109375" customWidth="1"/>
    <col min="7441" max="7441" width="12.7109375" customWidth="1"/>
    <col min="7683" max="7683" width="21.7109375" customWidth="1"/>
    <col min="7684" max="7685" width="10.7109375" customWidth="1"/>
    <col min="7686" max="7696" width="9.7109375" customWidth="1"/>
    <col min="7697" max="7697" width="12.7109375" customWidth="1"/>
    <col min="7939" max="7939" width="21.7109375" customWidth="1"/>
    <col min="7940" max="7941" width="10.7109375" customWidth="1"/>
    <col min="7942" max="7952" width="9.7109375" customWidth="1"/>
    <col min="7953" max="7953" width="12.7109375" customWidth="1"/>
    <col min="8195" max="8195" width="21.7109375" customWidth="1"/>
    <col min="8196" max="8197" width="10.7109375" customWidth="1"/>
    <col min="8198" max="8208" width="9.7109375" customWidth="1"/>
    <col min="8209" max="8209" width="12.7109375" customWidth="1"/>
    <col min="8451" max="8451" width="21.7109375" customWidth="1"/>
    <col min="8452" max="8453" width="10.7109375" customWidth="1"/>
    <col min="8454" max="8464" width="9.7109375" customWidth="1"/>
    <col min="8465" max="8465" width="12.7109375" customWidth="1"/>
    <col min="8707" max="8707" width="21.7109375" customWidth="1"/>
    <col min="8708" max="8709" width="10.7109375" customWidth="1"/>
    <col min="8710" max="8720" width="9.7109375" customWidth="1"/>
    <col min="8721" max="8721" width="12.7109375" customWidth="1"/>
    <col min="8963" max="8963" width="21.7109375" customWidth="1"/>
    <col min="8964" max="8965" width="10.7109375" customWidth="1"/>
    <col min="8966" max="8976" width="9.7109375" customWidth="1"/>
    <col min="8977" max="8977" width="12.7109375" customWidth="1"/>
    <col min="9219" max="9219" width="21.7109375" customWidth="1"/>
    <col min="9220" max="9221" width="10.7109375" customWidth="1"/>
    <col min="9222" max="9232" width="9.7109375" customWidth="1"/>
    <col min="9233" max="9233" width="12.7109375" customWidth="1"/>
    <col min="9475" max="9475" width="21.7109375" customWidth="1"/>
    <col min="9476" max="9477" width="10.7109375" customWidth="1"/>
    <col min="9478" max="9488" width="9.7109375" customWidth="1"/>
    <col min="9489" max="9489" width="12.7109375" customWidth="1"/>
    <col min="9731" max="9731" width="21.7109375" customWidth="1"/>
    <col min="9732" max="9733" width="10.7109375" customWidth="1"/>
    <col min="9734" max="9744" width="9.7109375" customWidth="1"/>
    <col min="9745" max="9745" width="12.7109375" customWidth="1"/>
    <col min="9987" max="9987" width="21.7109375" customWidth="1"/>
    <col min="9988" max="9989" width="10.7109375" customWidth="1"/>
    <col min="9990" max="10000" width="9.7109375" customWidth="1"/>
    <col min="10001" max="10001" width="12.7109375" customWidth="1"/>
    <col min="10243" max="10243" width="21.7109375" customWidth="1"/>
    <col min="10244" max="10245" width="10.7109375" customWidth="1"/>
    <col min="10246" max="10256" width="9.7109375" customWidth="1"/>
    <col min="10257" max="10257" width="12.7109375" customWidth="1"/>
    <col min="10499" max="10499" width="21.7109375" customWidth="1"/>
    <col min="10500" max="10501" width="10.7109375" customWidth="1"/>
    <col min="10502" max="10512" width="9.7109375" customWidth="1"/>
    <col min="10513" max="10513" width="12.7109375" customWidth="1"/>
    <col min="10755" max="10755" width="21.7109375" customWidth="1"/>
    <col min="10756" max="10757" width="10.7109375" customWidth="1"/>
    <col min="10758" max="10768" width="9.7109375" customWidth="1"/>
    <col min="10769" max="10769" width="12.7109375" customWidth="1"/>
    <col min="11011" max="11011" width="21.7109375" customWidth="1"/>
    <col min="11012" max="11013" width="10.7109375" customWidth="1"/>
    <col min="11014" max="11024" width="9.7109375" customWidth="1"/>
    <col min="11025" max="11025" width="12.7109375" customWidth="1"/>
    <col min="11267" max="11267" width="21.7109375" customWidth="1"/>
    <col min="11268" max="11269" width="10.7109375" customWidth="1"/>
    <col min="11270" max="11280" width="9.7109375" customWidth="1"/>
    <col min="11281" max="11281" width="12.7109375" customWidth="1"/>
    <col min="11523" max="11523" width="21.7109375" customWidth="1"/>
    <col min="11524" max="11525" width="10.7109375" customWidth="1"/>
    <col min="11526" max="11536" width="9.7109375" customWidth="1"/>
    <col min="11537" max="11537" width="12.7109375" customWidth="1"/>
    <col min="11779" max="11779" width="21.7109375" customWidth="1"/>
    <col min="11780" max="11781" width="10.7109375" customWidth="1"/>
    <col min="11782" max="11792" width="9.7109375" customWidth="1"/>
    <col min="11793" max="11793" width="12.7109375" customWidth="1"/>
    <col min="12035" max="12035" width="21.7109375" customWidth="1"/>
    <col min="12036" max="12037" width="10.7109375" customWidth="1"/>
    <col min="12038" max="12048" width="9.7109375" customWidth="1"/>
    <col min="12049" max="12049" width="12.7109375" customWidth="1"/>
    <col min="12291" max="12291" width="21.7109375" customWidth="1"/>
    <col min="12292" max="12293" width="10.7109375" customWidth="1"/>
    <col min="12294" max="12304" width="9.7109375" customWidth="1"/>
    <col min="12305" max="12305" width="12.7109375" customWidth="1"/>
    <col min="12547" max="12547" width="21.7109375" customWidth="1"/>
    <col min="12548" max="12549" width="10.7109375" customWidth="1"/>
    <col min="12550" max="12560" width="9.7109375" customWidth="1"/>
    <col min="12561" max="12561" width="12.7109375" customWidth="1"/>
    <col min="12803" max="12803" width="21.7109375" customWidth="1"/>
    <col min="12804" max="12805" width="10.7109375" customWidth="1"/>
    <col min="12806" max="12816" width="9.7109375" customWidth="1"/>
    <col min="12817" max="12817" width="12.7109375" customWidth="1"/>
    <col min="13059" max="13059" width="21.7109375" customWidth="1"/>
    <col min="13060" max="13061" width="10.7109375" customWidth="1"/>
    <col min="13062" max="13072" width="9.7109375" customWidth="1"/>
    <col min="13073" max="13073" width="12.7109375" customWidth="1"/>
    <col min="13315" max="13315" width="21.7109375" customWidth="1"/>
    <col min="13316" max="13317" width="10.7109375" customWidth="1"/>
    <col min="13318" max="13328" width="9.7109375" customWidth="1"/>
    <col min="13329" max="13329" width="12.7109375" customWidth="1"/>
    <col min="13571" max="13571" width="21.7109375" customWidth="1"/>
    <col min="13572" max="13573" width="10.7109375" customWidth="1"/>
    <col min="13574" max="13584" width="9.7109375" customWidth="1"/>
    <col min="13585" max="13585" width="12.7109375" customWidth="1"/>
    <col min="13827" max="13827" width="21.7109375" customWidth="1"/>
    <col min="13828" max="13829" width="10.7109375" customWidth="1"/>
    <col min="13830" max="13840" width="9.7109375" customWidth="1"/>
    <col min="13841" max="13841" width="12.7109375" customWidth="1"/>
    <col min="14083" max="14083" width="21.7109375" customWidth="1"/>
    <col min="14084" max="14085" width="10.7109375" customWidth="1"/>
    <col min="14086" max="14096" width="9.7109375" customWidth="1"/>
    <col min="14097" max="14097" width="12.7109375" customWidth="1"/>
    <col min="14339" max="14339" width="21.7109375" customWidth="1"/>
    <col min="14340" max="14341" width="10.7109375" customWidth="1"/>
    <col min="14342" max="14352" width="9.7109375" customWidth="1"/>
    <col min="14353" max="14353" width="12.7109375" customWidth="1"/>
    <col min="14595" max="14595" width="21.7109375" customWidth="1"/>
    <col min="14596" max="14597" width="10.7109375" customWidth="1"/>
    <col min="14598" max="14608" width="9.7109375" customWidth="1"/>
    <col min="14609" max="14609" width="12.7109375" customWidth="1"/>
    <col min="14851" max="14851" width="21.7109375" customWidth="1"/>
    <col min="14852" max="14853" width="10.7109375" customWidth="1"/>
    <col min="14854" max="14864" width="9.7109375" customWidth="1"/>
    <col min="14865" max="14865" width="12.7109375" customWidth="1"/>
    <col min="15107" max="15107" width="21.7109375" customWidth="1"/>
    <col min="15108" max="15109" width="10.7109375" customWidth="1"/>
    <col min="15110" max="15120" width="9.7109375" customWidth="1"/>
    <col min="15121" max="15121" width="12.7109375" customWidth="1"/>
    <col min="15363" max="15363" width="21.7109375" customWidth="1"/>
    <col min="15364" max="15365" width="10.7109375" customWidth="1"/>
    <col min="15366" max="15376" width="9.7109375" customWidth="1"/>
    <col min="15377" max="15377" width="12.7109375" customWidth="1"/>
    <col min="15619" max="15619" width="21.7109375" customWidth="1"/>
    <col min="15620" max="15621" width="10.7109375" customWidth="1"/>
    <col min="15622" max="15632" width="9.7109375" customWidth="1"/>
    <col min="15633" max="15633" width="12.7109375" customWidth="1"/>
    <col min="15875" max="15875" width="21.7109375" customWidth="1"/>
    <col min="15876" max="15877" width="10.7109375" customWidth="1"/>
    <col min="15878" max="15888" width="9.7109375" customWidth="1"/>
    <col min="15889" max="15889" width="12.7109375" customWidth="1"/>
    <col min="16131" max="16131" width="21.7109375" customWidth="1"/>
    <col min="16132" max="16133" width="10.7109375" customWidth="1"/>
    <col min="16134" max="16144" width="9.7109375" customWidth="1"/>
    <col min="16145" max="16145" width="12.7109375" customWidth="1"/>
  </cols>
  <sheetData>
    <row r="1" spans="2:40" ht="15.75" thickBot="1"/>
    <row r="2" spans="2:40" ht="4.5" customHeight="1">
      <c r="B2" s="2"/>
      <c r="C2" s="3"/>
      <c r="D2" s="3"/>
      <c r="E2" s="3"/>
      <c r="F2" s="3"/>
      <c r="G2" s="3"/>
      <c r="H2" s="3"/>
      <c r="I2" s="3"/>
      <c r="J2" s="3"/>
      <c r="K2" s="3"/>
      <c r="L2" s="3"/>
      <c r="M2" s="264" t="s">
        <v>15</v>
      </c>
      <c r="N2" s="95"/>
      <c r="O2" s="96"/>
      <c r="P2" s="96"/>
      <c r="Q2" s="96"/>
      <c r="R2" s="96"/>
      <c r="S2" s="97"/>
      <c r="T2" s="4"/>
      <c r="U2" s="28"/>
      <c r="V2" s="21"/>
      <c r="W2" s="21"/>
      <c r="X2" s="23"/>
      <c r="Y2" s="23"/>
      <c r="Z2" s="23"/>
      <c r="AA2" s="23"/>
      <c r="AB2" s="26"/>
      <c r="AC2" s="26"/>
      <c r="AD2" s="26"/>
      <c r="AE2" s="26"/>
      <c r="AF2" s="26"/>
      <c r="AG2" s="26"/>
      <c r="AH2" s="26"/>
      <c r="AI2" s="26"/>
      <c r="AJ2" s="26"/>
      <c r="AK2" s="26"/>
      <c r="AL2" s="26"/>
      <c r="AM2" s="26"/>
      <c r="AN2" s="26"/>
    </row>
    <row r="3" spans="2:40" ht="18" customHeight="1">
      <c r="B3" s="256" t="s">
        <v>1</v>
      </c>
      <c r="C3" s="257"/>
      <c r="D3" s="257"/>
      <c r="E3" s="257"/>
      <c r="F3" s="91"/>
      <c r="G3" s="91"/>
      <c r="H3" s="91"/>
      <c r="I3" s="91"/>
      <c r="J3" s="91"/>
      <c r="K3" s="91"/>
      <c r="L3" s="91"/>
      <c r="M3" s="265"/>
      <c r="N3" s="101" t="s">
        <v>19</v>
      </c>
      <c r="O3" s="93"/>
      <c r="P3" s="93"/>
      <c r="Q3" s="93"/>
      <c r="R3" s="93"/>
      <c r="S3" s="94"/>
      <c r="T3" s="4"/>
      <c r="U3" s="21"/>
      <c r="V3" s="21"/>
      <c r="W3" s="21"/>
      <c r="X3" s="23"/>
      <c r="Y3" s="23"/>
      <c r="Z3" s="23"/>
      <c r="AA3" s="23"/>
      <c r="AB3" s="24"/>
      <c r="AC3" s="24"/>
      <c r="AD3" s="24"/>
      <c r="AE3" s="24"/>
      <c r="AF3" s="24"/>
      <c r="AG3" s="24"/>
      <c r="AH3" s="24"/>
      <c r="AI3" s="24"/>
      <c r="AJ3" s="24"/>
      <c r="AK3" s="24"/>
      <c r="AL3" s="24"/>
      <c r="AM3" s="24"/>
      <c r="AN3" s="24"/>
    </row>
    <row r="4" spans="2:40" ht="18" customHeight="1">
      <c r="B4" s="256" t="s">
        <v>2</v>
      </c>
      <c r="C4" s="257"/>
      <c r="D4" s="257"/>
      <c r="E4" s="257"/>
      <c r="F4" s="91"/>
      <c r="G4" s="91"/>
      <c r="H4" s="91"/>
      <c r="I4" s="91"/>
      <c r="J4" s="91"/>
      <c r="K4" s="91"/>
      <c r="L4" s="91"/>
      <c r="M4" s="265"/>
      <c r="N4" s="258" t="s">
        <v>20</v>
      </c>
      <c r="O4" s="259"/>
      <c r="P4" s="259"/>
      <c r="Q4" s="259"/>
      <c r="R4" s="259"/>
      <c r="S4" s="260"/>
      <c r="T4" s="4"/>
      <c r="U4" s="21"/>
      <c r="V4" s="21"/>
      <c r="W4" s="21"/>
      <c r="X4" s="23"/>
      <c r="Y4" s="23"/>
      <c r="Z4" s="23"/>
      <c r="AA4" s="23"/>
      <c r="AB4" s="24"/>
      <c r="AC4" s="24"/>
      <c r="AD4" s="24"/>
      <c r="AE4" s="24"/>
      <c r="AF4" s="24"/>
      <c r="AG4" s="24"/>
      <c r="AH4" s="24"/>
      <c r="AI4" s="24"/>
      <c r="AJ4" s="24"/>
      <c r="AK4" s="24"/>
      <c r="AL4" s="24"/>
      <c r="AM4" s="24"/>
      <c r="AN4" s="24"/>
    </row>
    <row r="5" spans="2:40" ht="18" customHeight="1">
      <c r="B5" s="169"/>
      <c r="C5" s="170"/>
      <c r="D5" s="170"/>
      <c r="E5" s="170"/>
      <c r="F5" s="92"/>
      <c r="G5" s="92"/>
      <c r="H5" s="92"/>
      <c r="I5" s="92"/>
      <c r="J5" s="92"/>
      <c r="K5" s="92"/>
      <c r="L5" s="92"/>
      <c r="M5" s="266"/>
      <c r="N5" s="261" t="s">
        <v>90</v>
      </c>
      <c r="O5" s="262"/>
      <c r="P5" s="262"/>
      <c r="Q5" s="262"/>
      <c r="R5" s="262"/>
      <c r="S5" s="263"/>
      <c r="T5" s="4"/>
      <c r="U5" s="21"/>
      <c r="V5" s="21"/>
      <c r="W5" s="21"/>
      <c r="X5" s="23"/>
      <c r="Y5" s="23"/>
      <c r="Z5" s="23"/>
      <c r="AA5" s="23"/>
      <c r="AB5" s="24"/>
      <c r="AC5" s="24"/>
      <c r="AD5" s="24"/>
      <c r="AE5" s="24"/>
      <c r="AF5" s="24"/>
      <c r="AG5" s="24"/>
      <c r="AH5" s="24"/>
      <c r="AI5" s="24"/>
      <c r="AJ5" s="24"/>
      <c r="AK5" s="24"/>
      <c r="AL5" s="24"/>
      <c r="AM5" s="24"/>
      <c r="AN5" s="24"/>
    </row>
    <row r="6" spans="2:40" ht="15.75">
      <c r="B6" s="98" t="s">
        <v>3</v>
      </c>
      <c r="C6" s="37"/>
      <c r="D6" s="270" t="s">
        <v>6</v>
      </c>
      <c r="E6" s="270"/>
      <c r="F6" s="271"/>
      <c r="G6" s="271"/>
      <c r="H6" s="271"/>
      <c r="I6" s="271"/>
      <c r="J6" s="17"/>
      <c r="K6" s="17"/>
      <c r="L6" s="17"/>
      <c r="M6" s="17"/>
      <c r="N6" s="17"/>
      <c r="O6" s="17"/>
      <c r="P6" s="17"/>
      <c r="Q6" s="17"/>
      <c r="R6" s="17"/>
      <c r="S6" s="33"/>
      <c r="T6" s="19"/>
      <c r="U6" s="20"/>
      <c r="V6" s="20"/>
      <c r="W6" s="20"/>
      <c r="X6" s="21"/>
      <c r="Y6" s="21"/>
      <c r="Z6" s="21"/>
      <c r="AA6" s="21"/>
      <c r="AB6" s="28"/>
      <c r="AC6" s="21"/>
      <c r="AD6" s="21"/>
      <c r="AE6" s="21"/>
      <c r="AF6" s="32"/>
      <c r="AG6" s="32"/>
      <c r="AH6" s="32"/>
      <c r="AI6" s="32"/>
      <c r="AJ6" s="32"/>
      <c r="AK6" s="32"/>
      <c r="AL6" s="89"/>
      <c r="AM6" s="32"/>
      <c r="AN6" s="32"/>
    </row>
    <row r="7" spans="2:40" ht="15.75">
      <c r="B7" s="99" t="s">
        <v>22</v>
      </c>
      <c r="C7" s="6"/>
      <c r="D7" s="223"/>
      <c r="E7" s="228"/>
      <c r="F7" s="228"/>
      <c r="G7" s="228"/>
      <c r="H7" s="228"/>
      <c r="I7" s="229"/>
      <c r="J7" s="30"/>
      <c r="K7" s="242" t="s">
        <v>71</v>
      </c>
      <c r="L7" s="242"/>
      <c r="M7" s="274" t="s">
        <v>72</v>
      </c>
      <c r="N7" s="275"/>
      <c r="O7" s="267" t="s">
        <v>17</v>
      </c>
      <c r="P7" s="268"/>
      <c r="Q7" s="18"/>
      <c r="R7" s="30"/>
      <c r="S7" s="50"/>
      <c r="T7" s="30"/>
      <c r="U7" s="30"/>
      <c r="V7" s="30"/>
      <c r="W7" s="30"/>
      <c r="X7" s="30"/>
      <c r="Y7" s="30"/>
      <c r="Z7" s="30"/>
      <c r="AA7" s="21"/>
      <c r="AB7" s="21"/>
      <c r="AC7" s="21"/>
      <c r="AD7" s="21"/>
      <c r="AE7" s="21"/>
      <c r="AF7" s="32"/>
      <c r="AG7" s="32"/>
      <c r="AH7" s="32"/>
      <c r="AI7" s="32"/>
      <c r="AJ7" s="29"/>
      <c r="AK7" s="32"/>
      <c r="AL7" s="32"/>
      <c r="AM7" s="32"/>
      <c r="AN7" s="32"/>
    </row>
    <row r="8" spans="2:40" ht="15.75">
      <c r="B8" s="99" t="s">
        <v>23</v>
      </c>
      <c r="C8" s="6"/>
      <c r="D8" s="223"/>
      <c r="E8" s="228"/>
      <c r="F8" s="228"/>
      <c r="G8" s="228"/>
      <c r="H8" s="228"/>
      <c r="I8" s="229"/>
      <c r="J8" s="30"/>
      <c r="K8" s="272" t="s">
        <v>70</v>
      </c>
      <c r="L8" s="273"/>
      <c r="M8" s="216"/>
      <c r="N8" s="218"/>
      <c r="O8" s="30"/>
      <c r="P8" s="30"/>
      <c r="Q8" s="30"/>
      <c r="R8" s="30"/>
      <c r="S8" s="50"/>
      <c r="T8" s="30"/>
      <c r="U8" s="30"/>
      <c r="V8" s="30"/>
      <c r="W8" s="30"/>
      <c r="X8" s="30"/>
      <c r="Y8" s="30"/>
      <c r="Z8" s="30"/>
      <c r="AA8" s="21"/>
      <c r="AB8" s="21"/>
      <c r="AC8" s="21"/>
      <c r="AD8" s="21"/>
      <c r="AE8" s="21"/>
      <c r="AF8" s="32"/>
      <c r="AG8" s="32"/>
      <c r="AH8" s="32"/>
      <c r="AI8" s="32"/>
      <c r="AJ8" s="29"/>
      <c r="AK8" s="32"/>
      <c r="AL8" s="32"/>
      <c r="AM8" s="32"/>
      <c r="AN8" s="32"/>
    </row>
    <row r="9" spans="2:40" ht="15.75">
      <c r="B9" s="99" t="s">
        <v>4</v>
      </c>
      <c r="C9" s="6"/>
      <c r="D9" s="223"/>
      <c r="E9" s="228"/>
      <c r="F9" s="228"/>
      <c r="G9" s="228"/>
      <c r="H9" s="228"/>
      <c r="I9" s="229"/>
      <c r="J9" s="30"/>
      <c r="K9" s="269"/>
      <c r="L9" s="269"/>
      <c r="M9" s="30"/>
      <c r="N9" s="30"/>
      <c r="O9" s="30"/>
      <c r="P9" s="30"/>
      <c r="Q9" s="30"/>
      <c r="R9" s="30"/>
      <c r="S9" s="50"/>
      <c r="T9" s="30"/>
      <c r="U9" s="30"/>
      <c r="V9" s="30"/>
      <c r="W9" s="30"/>
      <c r="X9" s="30"/>
      <c r="Y9" s="30"/>
      <c r="Z9" s="30"/>
      <c r="AA9" s="21"/>
      <c r="AB9" s="28"/>
      <c r="AC9" s="21"/>
      <c r="AD9" s="21"/>
      <c r="AE9" s="21"/>
      <c r="AF9" s="21"/>
      <c r="AG9" s="21"/>
      <c r="AH9" s="21"/>
      <c r="AI9" s="21"/>
      <c r="AJ9" s="21"/>
      <c r="AK9" s="21"/>
      <c r="AL9" s="21"/>
      <c r="AM9" s="21"/>
      <c r="AN9" s="21"/>
    </row>
    <row r="10" spans="2:40" ht="15.75">
      <c r="B10" s="8"/>
      <c r="C10" s="7"/>
      <c r="D10" s="225" t="s">
        <v>7</v>
      </c>
      <c r="E10" s="225"/>
      <c r="F10" s="225"/>
      <c r="G10" s="225"/>
      <c r="H10" s="225"/>
      <c r="I10" s="225"/>
      <c r="J10" s="7"/>
      <c r="K10" s="100" t="s">
        <v>16</v>
      </c>
      <c r="L10" s="7"/>
      <c r="M10" s="7"/>
      <c r="N10" s="7"/>
      <c r="O10" s="216" t="s">
        <v>39</v>
      </c>
      <c r="P10" s="217"/>
      <c r="Q10" s="218"/>
      <c r="R10" s="51"/>
      <c r="S10" s="52"/>
      <c r="T10" s="7"/>
      <c r="U10" s="22"/>
      <c r="V10" s="22"/>
      <c r="W10" s="22"/>
      <c r="X10" s="22"/>
      <c r="Y10" s="22"/>
      <c r="Z10" s="22"/>
      <c r="AA10" s="21"/>
      <c r="AB10" s="21"/>
      <c r="AC10" s="21"/>
      <c r="AD10" s="21"/>
      <c r="AE10" s="21"/>
      <c r="AF10" s="21"/>
      <c r="AG10" s="21"/>
      <c r="AH10" s="21"/>
      <c r="AI10" s="21"/>
      <c r="AJ10" s="21"/>
      <c r="AK10" s="21"/>
      <c r="AL10" s="21"/>
      <c r="AM10" s="21"/>
      <c r="AN10" s="21"/>
    </row>
    <row r="11" spans="2:40" ht="15.75">
      <c r="B11" s="227"/>
      <c r="C11" s="228"/>
      <c r="D11" s="229"/>
      <c r="E11" s="165"/>
      <c r="F11" s="165"/>
      <c r="G11" s="16" t="s">
        <v>11</v>
      </c>
      <c r="H11" s="223"/>
      <c r="I11" s="229"/>
      <c r="J11" s="30"/>
      <c r="K11" s="4"/>
      <c r="L11" s="4"/>
      <c r="M11" s="4"/>
      <c r="N11" s="4"/>
      <c r="O11" s="4"/>
      <c r="P11" s="30"/>
      <c r="Q11" s="30"/>
      <c r="R11" s="7"/>
      <c r="S11" s="5"/>
      <c r="T11" s="7"/>
      <c r="U11" s="234"/>
      <c r="V11" s="235"/>
      <c r="W11" s="235"/>
      <c r="X11" s="235"/>
      <c r="Y11" s="235"/>
      <c r="Z11" s="235"/>
      <c r="AA11" s="21"/>
      <c r="AB11" s="21"/>
      <c r="AC11" s="21"/>
      <c r="AD11" s="22"/>
      <c r="AE11" s="22"/>
      <c r="AF11" s="22"/>
      <c r="AG11" s="22"/>
      <c r="AH11" s="22"/>
      <c r="AI11" s="22"/>
      <c r="AJ11" s="22"/>
      <c r="AK11" s="22"/>
      <c r="AL11" s="22"/>
      <c r="AM11" s="22"/>
      <c r="AN11" s="22"/>
    </row>
    <row r="12" spans="2:40">
      <c r="B12" s="244" t="s">
        <v>8</v>
      </c>
      <c r="C12" s="245"/>
      <c r="D12" s="245"/>
      <c r="E12" s="154" t="s">
        <v>9</v>
      </c>
      <c r="F12" s="154" t="s">
        <v>10</v>
      </c>
      <c r="G12" s="4"/>
      <c r="H12" s="49"/>
      <c r="I12" s="49"/>
      <c r="J12" s="49"/>
      <c r="K12" s="226"/>
      <c r="L12" s="226"/>
      <c r="M12" s="4"/>
      <c r="N12" s="12"/>
      <c r="O12" s="12"/>
      <c r="P12" s="12"/>
      <c r="Q12" s="49"/>
      <c r="R12" s="4"/>
      <c r="S12" s="5"/>
      <c r="T12" s="4"/>
      <c r="U12" s="21"/>
      <c r="V12" s="21"/>
      <c r="W12" s="21"/>
      <c r="X12" s="21"/>
      <c r="Y12" s="21"/>
      <c r="Z12" s="21"/>
      <c r="AA12" s="21"/>
      <c r="AB12" s="21"/>
      <c r="AC12" s="21"/>
      <c r="AD12" s="22"/>
      <c r="AE12" s="22"/>
      <c r="AF12" s="22"/>
      <c r="AG12" s="22"/>
      <c r="AH12" s="22"/>
      <c r="AI12" s="22"/>
      <c r="AJ12" s="22"/>
      <c r="AK12" s="22"/>
      <c r="AL12" s="30"/>
      <c r="AM12" s="30"/>
      <c r="AN12" s="30"/>
    </row>
    <row r="13" spans="2:40" ht="14.45" customHeight="1">
      <c r="B13" s="48"/>
      <c r="C13" s="49"/>
      <c r="D13" s="49"/>
      <c r="E13" s="49"/>
      <c r="F13" s="49"/>
      <c r="G13" s="49"/>
      <c r="H13" s="49"/>
      <c r="I13" s="49"/>
      <c r="J13" s="49"/>
      <c r="K13" s="248"/>
      <c r="L13" s="219"/>
      <c r="M13" s="219"/>
      <c r="N13" s="219"/>
      <c r="O13" s="219"/>
      <c r="P13" s="219"/>
      <c r="Q13" s="219"/>
      <c r="R13" s="26"/>
      <c r="S13" s="34"/>
      <c r="T13" s="26"/>
      <c r="U13" s="26"/>
      <c r="V13" s="26"/>
      <c r="W13" s="26"/>
      <c r="X13" s="26"/>
      <c r="Y13" s="26"/>
      <c r="Z13" s="26"/>
      <c r="AA13" s="26"/>
      <c r="AB13" s="21"/>
      <c r="AC13" s="21"/>
      <c r="AD13" s="22"/>
      <c r="AE13" s="22"/>
      <c r="AF13" s="22"/>
      <c r="AG13" s="22"/>
      <c r="AH13" s="22"/>
      <c r="AI13" s="22"/>
      <c r="AJ13" s="22"/>
      <c r="AK13" s="22"/>
      <c r="AL13" s="22"/>
      <c r="AM13" s="22"/>
      <c r="AN13" s="22"/>
    </row>
    <row r="14" spans="2:40" ht="15.75">
      <c r="B14" s="168" t="s">
        <v>5</v>
      </c>
      <c r="C14" s="6"/>
      <c r="D14" s="220"/>
      <c r="E14" s="221"/>
      <c r="F14" s="222"/>
      <c r="G14" s="27" t="s">
        <v>12</v>
      </c>
      <c r="H14" s="220"/>
      <c r="I14" s="224"/>
      <c r="J14" s="30"/>
      <c r="K14" s="248"/>
      <c r="L14" s="243"/>
      <c r="M14" s="243"/>
      <c r="N14" s="243"/>
      <c r="O14" s="243"/>
      <c r="P14" s="243"/>
      <c r="Q14" s="243"/>
      <c r="R14" s="24"/>
      <c r="S14" s="25"/>
      <c r="T14" s="24"/>
      <c r="U14" s="24"/>
      <c r="V14" s="24"/>
      <c r="W14" s="24"/>
      <c r="X14" s="24"/>
      <c r="Y14" s="24"/>
      <c r="Z14" s="24"/>
      <c r="AA14" s="24"/>
      <c r="AB14" s="21"/>
      <c r="AC14" s="21"/>
      <c r="AD14" s="30"/>
      <c r="AE14" s="30"/>
      <c r="AF14" s="30"/>
      <c r="AG14" s="30"/>
      <c r="AH14" s="22"/>
      <c r="AI14" s="22"/>
      <c r="AJ14" s="22"/>
      <c r="AK14" s="32"/>
      <c r="AL14" s="30"/>
      <c r="AM14" s="30"/>
      <c r="AN14" s="30"/>
    </row>
    <row r="15" spans="2:40" ht="15.75">
      <c r="B15" s="168" t="s">
        <v>24</v>
      </c>
      <c r="C15" s="6"/>
      <c r="D15" s="223"/>
      <c r="E15" s="221"/>
      <c r="F15" s="222"/>
      <c r="G15" s="246" t="s">
        <v>13</v>
      </c>
      <c r="H15" s="247"/>
      <c r="I15" s="166"/>
      <c r="J15" s="30"/>
      <c r="K15" s="248"/>
      <c r="L15" s="243"/>
      <c r="M15" s="243"/>
      <c r="N15" s="243"/>
      <c r="O15" s="243"/>
      <c r="P15" s="243"/>
      <c r="Q15" s="243"/>
      <c r="R15" s="24"/>
      <c r="S15" s="25"/>
      <c r="T15" s="24"/>
      <c r="U15" s="24"/>
      <c r="V15" s="24"/>
      <c r="W15" s="24"/>
      <c r="X15" s="24"/>
      <c r="Y15" s="24"/>
      <c r="Z15" s="24"/>
      <c r="AA15" s="24"/>
      <c r="AB15" s="21"/>
      <c r="AC15" s="21"/>
      <c r="AD15" s="21"/>
      <c r="AE15" s="21"/>
      <c r="AF15" s="21"/>
      <c r="AG15" s="21"/>
      <c r="AH15" s="21"/>
      <c r="AI15" s="21"/>
      <c r="AJ15" s="21"/>
      <c r="AK15" s="21"/>
      <c r="AL15" s="21"/>
      <c r="AM15" s="21"/>
      <c r="AN15" s="21"/>
    </row>
    <row r="16" spans="2:40" ht="15.75" thickBot="1">
      <c r="B16" s="9"/>
      <c r="C16" s="10"/>
      <c r="D16" s="10"/>
      <c r="E16" s="10"/>
      <c r="F16" s="10"/>
      <c r="G16" s="10"/>
      <c r="H16" s="10"/>
      <c r="I16" s="155" t="s">
        <v>14</v>
      </c>
      <c r="J16" s="10"/>
      <c r="K16" s="10"/>
      <c r="L16" s="10"/>
      <c r="M16" s="10"/>
      <c r="N16" s="10"/>
      <c r="O16" s="10"/>
      <c r="P16" s="10"/>
      <c r="Q16" s="10"/>
      <c r="R16" s="10"/>
      <c r="S16" s="11"/>
      <c r="T16" s="4"/>
      <c r="U16" s="21"/>
      <c r="V16" s="21"/>
      <c r="W16" s="21"/>
      <c r="X16" s="233"/>
      <c r="Y16" s="233"/>
      <c r="Z16" s="233"/>
      <c r="AA16" s="21"/>
      <c r="AB16" s="21"/>
      <c r="AC16" s="21"/>
      <c r="AD16" s="21"/>
      <c r="AE16" s="21"/>
      <c r="AF16" s="21"/>
      <c r="AG16" s="21"/>
      <c r="AH16" s="21"/>
      <c r="AI16" s="21"/>
      <c r="AJ16" s="21"/>
      <c r="AK16" s="21"/>
      <c r="AL16" s="21"/>
      <c r="AM16" s="31"/>
      <c r="AN16" s="31"/>
    </row>
    <row r="17" spans="2:19" ht="19.149999999999999" customHeight="1" thickBot="1">
      <c r="B17" s="197" t="s">
        <v>40</v>
      </c>
      <c r="C17" s="198"/>
      <c r="D17" s="198"/>
      <c r="E17" s="198"/>
      <c r="F17" s="198"/>
      <c r="G17" s="198"/>
      <c r="H17" s="198"/>
      <c r="I17" s="198"/>
      <c r="J17" s="198"/>
      <c r="K17" s="198"/>
      <c r="L17" s="198"/>
      <c r="M17" s="198"/>
      <c r="N17" s="198"/>
      <c r="O17" s="198"/>
      <c r="P17" s="198"/>
      <c r="Q17" s="198"/>
      <c r="R17" s="198"/>
      <c r="S17" s="199"/>
    </row>
    <row r="18" spans="2:19" ht="15.75" thickBot="1">
      <c r="B18" s="53"/>
      <c r="C18" s="54"/>
      <c r="D18" s="55"/>
      <c r="E18" s="250" t="s">
        <v>27</v>
      </c>
      <c r="F18" s="251"/>
      <c r="G18" s="251"/>
      <c r="H18" s="251"/>
      <c r="I18" s="251"/>
      <c r="J18" s="251"/>
      <c r="K18" s="251"/>
      <c r="L18" s="251"/>
      <c r="M18" s="251"/>
      <c r="N18" s="251"/>
      <c r="O18" s="251"/>
      <c r="P18" s="251"/>
      <c r="Q18" s="251"/>
      <c r="R18" s="251"/>
      <c r="S18" s="252"/>
    </row>
    <row r="19" spans="2:19" ht="16.5" thickBot="1">
      <c r="B19" s="56"/>
      <c r="C19" s="57"/>
      <c r="D19" s="102" t="s">
        <v>25</v>
      </c>
      <c r="E19" s="175" t="s">
        <v>84</v>
      </c>
      <c r="F19" s="175" t="s">
        <v>84</v>
      </c>
      <c r="G19" s="175" t="s">
        <v>84</v>
      </c>
      <c r="H19" s="175" t="s">
        <v>84</v>
      </c>
      <c r="I19" s="175" t="s">
        <v>84</v>
      </c>
      <c r="J19" s="175" t="s">
        <v>84</v>
      </c>
      <c r="K19" s="175" t="s">
        <v>84</v>
      </c>
      <c r="L19" s="175" t="s">
        <v>84</v>
      </c>
      <c r="M19" s="175" t="s">
        <v>84</v>
      </c>
      <c r="N19" s="175" t="s">
        <v>84</v>
      </c>
      <c r="O19" s="175" t="s">
        <v>84</v>
      </c>
      <c r="P19" s="175" t="s">
        <v>84</v>
      </c>
      <c r="Q19" s="175" t="s">
        <v>84</v>
      </c>
      <c r="R19" s="175" t="s">
        <v>84</v>
      </c>
      <c r="S19" s="177" t="s">
        <v>84</v>
      </c>
    </row>
    <row r="20" spans="2:19" ht="15.75">
      <c r="B20" s="130" t="s">
        <v>86</v>
      </c>
      <c r="C20" s="58"/>
      <c r="D20" s="156" t="s">
        <v>88</v>
      </c>
      <c r="E20" s="105"/>
      <c r="F20" s="106"/>
      <c r="G20" s="106"/>
      <c r="H20" s="106"/>
      <c r="I20" s="106"/>
      <c r="J20" s="106"/>
      <c r="K20" s="106"/>
      <c r="L20" s="106"/>
      <c r="M20" s="106"/>
      <c r="N20" s="106"/>
      <c r="O20" s="106"/>
      <c r="P20" s="106"/>
      <c r="Q20" s="107"/>
      <c r="R20" s="108"/>
      <c r="S20" s="109"/>
    </row>
    <row r="21" spans="2:19" ht="15.75">
      <c r="B21" s="131" t="s">
        <v>93</v>
      </c>
      <c r="C21" s="59"/>
      <c r="D21" s="157" t="s">
        <v>31</v>
      </c>
      <c r="E21" s="110"/>
      <c r="F21" s="111"/>
      <c r="G21" s="111"/>
      <c r="H21" s="111"/>
      <c r="I21" s="111"/>
      <c r="J21" s="111"/>
      <c r="K21" s="111"/>
      <c r="L21" s="111"/>
      <c r="M21" s="111"/>
      <c r="N21" s="111"/>
      <c r="O21" s="111"/>
      <c r="P21" s="111"/>
      <c r="Q21" s="112"/>
      <c r="R21" s="113"/>
      <c r="S21" s="114"/>
    </row>
    <row r="22" spans="2:19" ht="15.75">
      <c r="B22" s="131" t="s">
        <v>32</v>
      </c>
      <c r="C22" s="59"/>
      <c r="D22" s="157" t="s">
        <v>33</v>
      </c>
      <c r="E22" s="188"/>
      <c r="F22" s="127"/>
      <c r="G22" s="127"/>
      <c r="H22" s="127"/>
      <c r="I22" s="127"/>
      <c r="J22" s="127"/>
      <c r="K22" s="127"/>
      <c r="L22" s="127"/>
      <c r="M22" s="127"/>
      <c r="N22" s="127"/>
      <c r="O22" s="127"/>
      <c r="P22" s="127"/>
      <c r="Q22" s="189"/>
      <c r="R22" s="190"/>
      <c r="S22" s="191"/>
    </row>
    <row r="23" spans="2:19" ht="15.75">
      <c r="B23" s="131" t="s">
        <v>87</v>
      </c>
      <c r="C23" s="59"/>
      <c r="D23" s="157" t="s">
        <v>88</v>
      </c>
      <c r="E23" s="117"/>
      <c r="F23" s="111"/>
      <c r="G23" s="111"/>
      <c r="H23" s="111"/>
      <c r="I23" s="111"/>
      <c r="J23" s="111"/>
      <c r="K23" s="111"/>
      <c r="L23" s="111"/>
      <c r="M23" s="111"/>
      <c r="N23" s="111"/>
      <c r="O23" s="111"/>
      <c r="P23" s="111"/>
      <c r="Q23" s="112"/>
      <c r="R23" s="113"/>
      <c r="S23" s="114"/>
    </row>
    <row r="24" spans="2:19" ht="15.75">
      <c r="B24" s="131" t="s">
        <v>85</v>
      </c>
      <c r="C24" s="59"/>
      <c r="D24" s="157" t="s">
        <v>31</v>
      </c>
      <c r="E24" s="117"/>
      <c r="F24" s="111"/>
      <c r="G24" s="111"/>
      <c r="H24" s="111"/>
      <c r="I24" s="111"/>
      <c r="J24" s="111"/>
      <c r="K24" s="111"/>
      <c r="L24" s="111"/>
      <c r="M24" s="111"/>
      <c r="N24" s="111"/>
      <c r="O24" s="111"/>
      <c r="P24" s="111"/>
      <c r="Q24" s="112"/>
      <c r="R24" s="113"/>
      <c r="S24" s="114"/>
    </row>
    <row r="25" spans="2:19" ht="16.5" thickBot="1">
      <c r="B25" s="132" t="s">
        <v>73</v>
      </c>
      <c r="C25" s="60"/>
      <c r="D25" s="158" t="s">
        <v>31</v>
      </c>
      <c r="E25" s="118"/>
      <c r="F25" s="171"/>
      <c r="G25" s="171"/>
      <c r="H25" s="171"/>
      <c r="I25" s="171"/>
      <c r="J25" s="171"/>
      <c r="K25" s="171"/>
      <c r="L25" s="171"/>
      <c r="M25" s="171"/>
      <c r="N25" s="171"/>
      <c r="O25" s="171"/>
      <c r="P25" s="171"/>
      <c r="Q25" s="172"/>
      <c r="R25" s="173"/>
      <c r="S25" s="174"/>
    </row>
    <row r="26" spans="2:19" ht="19.149999999999999" customHeight="1" thickBot="1">
      <c r="B26" s="197" t="s">
        <v>41</v>
      </c>
      <c r="C26" s="198"/>
      <c r="D26" s="198"/>
      <c r="E26" s="198"/>
      <c r="F26" s="198"/>
      <c r="G26" s="198"/>
      <c r="H26" s="198"/>
      <c r="I26" s="198"/>
      <c r="J26" s="198"/>
      <c r="K26" s="198"/>
      <c r="L26" s="198"/>
      <c r="M26" s="198"/>
      <c r="N26" s="198"/>
      <c r="O26" s="198"/>
      <c r="P26" s="198"/>
      <c r="Q26" s="198"/>
      <c r="R26" s="198"/>
      <c r="S26" s="199"/>
    </row>
    <row r="27" spans="2:19" ht="24" customHeight="1" thickBot="1">
      <c r="B27" s="253" t="s">
        <v>37</v>
      </c>
      <c r="C27" s="254"/>
      <c r="D27" s="255"/>
      <c r="E27" s="84"/>
      <c r="F27" s="85"/>
      <c r="G27" s="85"/>
      <c r="H27" s="85"/>
      <c r="I27" s="85"/>
      <c r="J27" s="85"/>
      <c r="K27" s="85"/>
      <c r="L27" s="85"/>
      <c r="M27" s="85"/>
      <c r="N27" s="85"/>
      <c r="O27" s="85"/>
      <c r="P27" s="86"/>
      <c r="Q27" s="87"/>
      <c r="R27" s="87"/>
      <c r="S27" s="88"/>
    </row>
    <row r="28" spans="2:19" ht="16.5" thickBot="1">
      <c r="B28" s="61"/>
      <c r="C28" s="159" t="s">
        <v>67</v>
      </c>
      <c r="D28" s="160" t="s">
        <v>25</v>
      </c>
      <c r="E28" s="103" t="str">
        <f>$E$19</f>
        <v>MW-</v>
      </c>
      <c r="F28" s="104" t="str">
        <f>$F$19</f>
        <v>MW-</v>
      </c>
      <c r="G28" s="104" t="str">
        <f>$G$19</f>
        <v>MW-</v>
      </c>
      <c r="H28" s="104" t="str">
        <f>$H$19</f>
        <v>MW-</v>
      </c>
      <c r="I28" s="104" t="str">
        <f>$I$19</f>
        <v>MW-</v>
      </c>
      <c r="J28" s="104" t="str">
        <f>$J$19</f>
        <v>MW-</v>
      </c>
      <c r="K28" s="104" t="str">
        <f>$K$19</f>
        <v>MW-</v>
      </c>
      <c r="L28" s="104" t="str">
        <f>$L$19</f>
        <v>MW-</v>
      </c>
      <c r="M28" s="104" t="str">
        <f>$M$19</f>
        <v>MW-</v>
      </c>
      <c r="N28" s="104" t="str">
        <f>$N$19</f>
        <v>MW-</v>
      </c>
      <c r="O28" s="104" t="str">
        <f>$O$19</f>
        <v>MW-</v>
      </c>
      <c r="P28" s="104" t="str">
        <f>$P$19</f>
        <v>MW-</v>
      </c>
      <c r="Q28" s="104" t="str">
        <f>$Q$19</f>
        <v>MW-</v>
      </c>
      <c r="R28" s="104" t="str">
        <f>$R$19</f>
        <v>MW-</v>
      </c>
      <c r="S28" s="176" t="str">
        <f>$S$19</f>
        <v>MW-</v>
      </c>
    </row>
    <row r="29" spans="2:19" ht="15.75">
      <c r="B29" s="133" t="s">
        <v>26</v>
      </c>
      <c r="C29" s="161"/>
      <c r="D29" s="162"/>
      <c r="E29" s="119"/>
      <c r="F29" s="120"/>
      <c r="G29" s="120"/>
      <c r="H29" s="120"/>
      <c r="I29" s="120"/>
      <c r="J29" s="120"/>
      <c r="K29" s="120"/>
      <c r="L29" s="120"/>
      <c r="M29" s="120"/>
      <c r="N29" s="120"/>
      <c r="O29" s="120"/>
      <c r="P29" s="120"/>
      <c r="Q29" s="121"/>
      <c r="R29" s="122"/>
      <c r="S29" s="123"/>
    </row>
    <row r="30" spans="2:19" ht="15.75">
      <c r="B30" s="134" t="s">
        <v>77</v>
      </c>
      <c r="C30" s="163"/>
      <c r="D30" s="157" t="s">
        <v>31</v>
      </c>
      <c r="E30" s="117"/>
      <c r="F30" s="111"/>
      <c r="G30" s="111"/>
      <c r="H30" s="111"/>
      <c r="I30" s="111"/>
      <c r="J30" s="111"/>
      <c r="K30" s="111"/>
      <c r="L30" s="111"/>
      <c r="M30" s="111"/>
      <c r="N30" s="111"/>
      <c r="O30" s="111"/>
      <c r="P30" s="111"/>
      <c r="Q30" s="112"/>
      <c r="R30" s="113"/>
      <c r="S30" s="114"/>
    </row>
    <row r="31" spans="2:19" ht="15.75">
      <c r="B31" s="134" t="s">
        <v>74</v>
      </c>
      <c r="C31" s="163"/>
      <c r="D31" s="157" t="s">
        <v>34</v>
      </c>
      <c r="E31" s="117"/>
      <c r="F31" s="111"/>
      <c r="G31" s="111"/>
      <c r="H31" s="111"/>
      <c r="I31" s="111"/>
      <c r="J31" s="111"/>
      <c r="K31" s="111"/>
      <c r="L31" s="111"/>
      <c r="M31" s="111"/>
      <c r="N31" s="111"/>
      <c r="O31" s="111"/>
      <c r="P31" s="111"/>
      <c r="Q31" s="112"/>
      <c r="R31" s="113"/>
      <c r="S31" s="114"/>
    </row>
    <row r="32" spans="2:19" ht="15.75">
      <c r="B32" s="134" t="s">
        <v>60</v>
      </c>
      <c r="C32" s="163"/>
      <c r="D32" s="157" t="s">
        <v>35</v>
      </c>
      <c r="E32" s="188"/>
      <c r="F32" s="127"/>
      <c r="G32" s="127"/>
      <c r="H32" s="127"/>
      <c r="I32" s="127"/>
      <c r="J32" s="127"/>
      <c r="K32" s="127"/>
      <c r="L32" s="127"/>
      <c r="M32" s="127"/>
      <c r="N32" s="127"/>
      <c r="O32" s="127"/>
      <c r="P32" s="127"/>
      <c r="Q32" s="189"/>
      <c r="R32" s="190"/>
      <c r="S32" s="191"/>
    </row>
    <row r="33" spans="2:167" ht="15.75">
      <c r="B33" s="134" t="s">
        <v>61</v>
      </c>
      <c r="C33" s="163"/>
      <c r="D33" s="162"/>
      <c r="E33" s="115"/>
      <c r="F33" s="111"/>
      <c r="G33" s="111"/>
      <c r="H33" s="111"/>
      <c r="I33" s="111"/>
      <c r="J33" s="111"/>
      <c r="K33" s="111"/>
      <c r="L33" s="111"/>
      <c r="M33" s="111"/>
      <c r="N33" s="111"/>
      <c r="O33" s="111"/>
      <c r="P33" s="116"/>
      <c r="Q33" s="124"/>
      <c r="R33" s="125"/>
      <c r="S33" s="126"/>
    </row>
    <row r="34" spans="2:167" ht="15.75">
      <c r="B34" s="134" t="s">
        <v>18</v>
      </c>
      <c r="C34" s="163"/>
      <c r="D34" s="162"/>
      <c r="E34" s="115"/>
      <c r="F34" s="111"/>
      <c r="G34" s="111"/>
      <c r="H34" s="111"/>
      <c r="I34" s="111"/>
      <c r="J34" s="111"/>
      <c r="K34" s="111"/>
      <c r="L34" s="111"/>
      <c r="M34" s="111"/>
      <c r="N34" s="111"/>
      <c r="O34" s="111"/>
      <c r="P34" s="116"/>
      <c r="Q34" s="124"/>
      <c r="R34" s="125"/>
      <c r="S34" s="126"/>
    </row>
    <row r="35" spans="2:167" ht="15.75">
      <c r="B35" s="134" t="s">
        <v>63</v>
      </c>
      <c r="C35" s="163"/>
      <c r="D35" s="157" t="s">
        <v>82</v>
      </c>
      <c r="E35" s="192"/>
      <c r="F35" s="193"/>
      <c r="G35" s="193"/>
      <c r="H35" s="193"/>
      <c r="I35" s="193"/>
      <c r="J35" s="193"/>
      <c r="K35" s="193"/>
      <c r="L35" s="193"/>
      <c r="M35" s="193"/>
      <c r="N35" s="193"/>
      <c r="O35" s="193"/>
      <c r="P35" s="193"/>
      <c r="Q35" s="194"/>
      <c r="R35" s="195"/>
      <c r="S35" s="196"/>
    </row>
    <row r="36" spans="2:167" ht="16.5" thickBot="1">
      <c r="B36" s="135" t="s">
        <v>62</v>
      </c>
      <c r="C36" s="164" t="s">
        <v>69</v>
      </c>
      <c r="D36" s="158" t="s">
        <v>36</v>
      </c>
      <c r="E36" s="128"/>
      <c r="F36" s="128"/>
      <c r="G36" s="128"/>
      <c r="H36" s="128"/>
      <c r="I36" s="128"/>
      <c r="J36" s="128"/>
      <c r="K36" s="128"/>
      <c r="L36" s="128"/>
      <c r="M36" s="128"/>
      <c r="N36" s="128"/>
      <c r="O36" s="128"/>
      <c r="P36" s="128"/>
      <c r="Q36" s="128"/>
      <c r="R36" s="128"/>
      <c r="S36" s="129"/>
    </row>
    <row r="37" spans="2:167" ht="19.149999999999999" customHeight="1" thickBot="1">
      <c r="B37" s="197" t="s">
        <v>42</v>
      </c>
      <c r="C37" s="198"/>
      <c r="D37" s="198"/>
      <c r="E37" s="198"/>
      <c r="F37" s="198"/>
      <c r="G37" s="198"/>
      <c r="H37" s="198"/>
      <c r="I37" s="198"/>
      <c r="J37" s="198"/>
      <c r="K37" s="198"/>
      <c r="L37" s="198"/>
      <c r="M37" s="198"/>
      <c r="N37" s="198"/>
      <c r="O37" s="198"/>
      <c r="P37" s="198"/>
      <c r="Q37" s="198"/>
      <c r="R37" s="198"/>
      <c r="S37" s="199"/>
    </row>
    <row r="38" spans="2:167" ht="16.5" thickBot="1">
      <c r="B38" s="62" t="s">
        <v>28</v>
      </c>
      <c r="C38" s="236"/>
      <c r="D38" s="237"/>
      <c r="E38" s="237"/>
      <c r="F38" s="237"/>
      <c r="G38" s="238"/>
      <c r="H38" s="63"/>
      <c r="I38" s="215" t="s">
        <v>29</v>
      </c>
      <c r="J38" s="215"/>
      <c r="K38" s="200"/>
      <c r="L38" s="201"/>
      <c r="M38" s="249" t="s">
        <v>80</v>
      </c>
      <c r="N38" s="249"/>
      <c r="O38" s="249"/>
      <c r="P38" s="249"/>
      <c r="Q38" s="152" t="s">
        <v>65</v>
      </c>
      <c r="R38" s="152" t="s">
        <v>81</v>
      </c>
      <c r="S38" s="64"/>
    </row>
    <row r="39" spans="2:167" ht="16.5" thickBot="1">
      <c r="B39" s="99" t="s">
        <v>30</v>
      </c>
      <c r="C39" s="239"/>
      <c r="D39" s="240"/>
      <c r="E39" s="240"/>
      <c r="F39" s="240"/>
      <c r="G39" s="241"/>
      <c r="H39" s="65"/>
      <c r="I39" s="66"/>
      <c r="J39" s="67"/>
      <c r="K39" s="202"/>
      <c r="L39" s="203"/>
      <c r="M39" s="151"/>
      <c r="N39" s="100"/>
      <c r="O39" s="242" t="s">
        <v>64</v>
      </c>
      <c r="P39" s="242"/>
      <c r="Q39" s="153" t="s">
        <v>65</v>
      </c>
      <c r="R39" s="153" t="s">
        <v>66</v>
      </c>
      <c r="S39" s="68"/>
    </row>
    <row r="40" spans="2:167" ht="15.75" thickBot="1">
      <c r="B40" s="69"/>
      <c r="C40" s="70"/>
      <c r="D40" s="70"/>
      <c r="E40" s="71"/>
      <c r="F40" s="66"/>
      <c r="G40" s="66"/>
      <c r="H40" s="65"/>
      <c r="I40" s="66"/>
      <c r="J40" s="67"/>
      <c r="K40" s="66"/>
      <c r="L40" s="67"/>
      <c r="M40" s="66"/>
      <c r="N40" s="67"/>
      <c r="O40" s="66"/>
      <c r="P40" s="72"/>
      <c r="Q40" s="73"/>
      <c r="R40" s="73"/>
      <c r="S40" s="68"/>
    </row>
    <row r="41" spans="2:167" ht="16.5" thickBot="1">
      <c r="B41" s="74"/>
      <c r="C41" s="159" t="s">
        <v>67</v>
      </c>
      <c r="D41" s="160" t="s">
        <v>25</v>
      </c>
      <c r="E41" s="178" t="str">
        <f>$E$19</f>
        <v>MW-</v>
      </c>
      <c r="F41" s="104" t="str">
        <f>$F$19</f>
        <v>MW-</v>
      </c>
      <c r="G41" s="104" t="str">
        <f>$G$19</f>
        <v>MW-</v>
      </c>
      <c r="H41" s="104" t="str">
        <f>$H$19</f>
        <v>MW-</v>
      </c>
      <c r="I41" s="104" t="str">
        <f>$I$19</f>
        <v>MW-</v>
      </c>
      <c r="J41" s="104" t="str">
        <f>$J$19</f>
        <v>MW-</v>
      </c>
      <c r="K41" s="104" t="str">
        <f>$K$19</f>
        <v>MW-</v>
      </c>
      <c r="L41" s="104" t="str">
        <f>$L$19</f>
        <v>MW-</v>
      </c>
      <c r="M41" s="104" t="str">
        <f>$M$19</f>
        <v>MW-</v>
      </c>
      <c r="N41" s="104" t="str">
        <f>$N$19</f>
        <v>MW-</v>
      </c>
      <c r="O41" s="104" t="str">
        <f>$O$19</f>
        <v>MW-</v>
      </c>
      <c r="P41" s="104" t="str">
        <f>$P$19</f>
        <v>MW-</v>
      </c>
      <c r="Q41" s="104" t="str">
        <f>$Q$19</f>
        <v>MW-</v>
      </c>
      <c r="R41" s="104" t="str">
        <f>$R$19</f>
        <v>MW-</v>
      </c>
      <c r="S41" s="176" t="str">
        <f>$S$19</f>
        <v>MW-</v>
      </c>
    </row>
    <row r="42" spans="2:167" s="14" customFormat="1" ht="15.75">
      <c r="B42" s="136" t="s">
        <v>43</v>
      </c>
      <c r="C42" s="137">
        <v>1</v>
      </c>
      <c r="D42" s="138" t="s">
        <v>38</v>
      </c>
      <c r="E42" s="179"/>
      <c r="F42" s="181"/>
      <c r="G42" s="181"/>
      <c r="H42" s="181"/>
      <c r="I42" s="181"/>
      <c r="J42" s="181"/>
      <c r="K42" s="181"/>
      <c r="L42" s="181"/>
      <c r="M42" s="181"/>
      <c r="N42" s="181"/>
      <c r="O42" s="181"/>
      <c r="P42" s="181"/>
      <c r="Q42" s="181"/>
      <c r="R42" s="181"/>
      <c r="S42" s="183"/>
      <c r="T42" s="90"/>
      <c r="U42" s="90"/>
      <c r="V42" s="90"/>
      <c r="W42" s="90"/>
      <c r="X42" s="90"/>
      <c r="Y42" s="90"/>
      <c r="Z42" s="90"/>
      <c r="AA42" s="90"/>
      <c r="AB42" s="90"/>
      <c r="AC42" s="90"/>
      <c r="AD42" s="90"/>
      <c r="AE42" s="90"/>
      <c r="AF42" s="90"/>
      <c r="AG42" s="90"/>
      <c r="AH42" s="90"/>
      <c r="AI42" s="90"/>
      <c r="AJ42" s="90"/>
      <c r="AK42" s="90"/>
      <c r="AL42" s="90"/>
      <c r="AM42" s="90"/>
      <c r="AN42" s="90"/>
      <c r="AO42" s="90"/>
      <c r="AP42" s="90"/>
      <c r="AQ42" s="90"/>
      <c r="AR42" s="90"/>
      <c r="AS42" s="90"/>
      <c r="AT42" s="90"/>
      <c r="AU42" s="90"/>
      <c r="AV42" s="90"/>
      <c r="AW42" s="90"/>
      <c r="AX42" s="90"/>
      <c r="AY42" s="90"/>
      <c r="AZ42" s="90"/>
      <c r="BA42" s="90"/>
      <c r="BB42" s="90"/>
      <c r="BC42" s="90"/>
      <c r="BD42" s="90"/>
      <c r="BE42" s="90"/>
      <c r="BF42" s="90"/>
      <c r="BG42" s="90"/>
      <c r="BH42" s="90"/>
      <c r="BI42" s="90"/>
      <c r="BJ42" s="90"/>
      <c r="BK42" s="90"/>
      <c r="BL42" s="90"/>
      <c r="BM42" s="90"/>
      <c r="BN42" s="90"/>
      <c r="BO42" s="90"/>
      <c r="BP42" s="90"/>
      <c r="BQ42" s="90"/>
      <c r="BR42" s="90"/>
      <c r="BS42" s="90"/>
      <c r="BT42" s="90"/>
      <c r="BU42" s="90"/>
      <c r="BV42" s="90"/>
      <c r="BW42" s="90"/>
      <c r="BX42" s="90"/>
      <c r="BY42" s="90"/>
      <c r="BZ42" s="90"/>
      <c r="CA42" s="90"/>
      <c r="CB42" s="90"/>
      <c r="CC42" s="90"/>
      <c r="CD42" s="90"/>
      <c r="CE42" s="90"/>
      <c r="CF42" s="90"/>
      <c r="CG42" s="90"/>
      <c r="CH42" s="90"/>
      <c r="CI42" s="90"/>
      <c r="CJ42" s="90"/>
      <c r="CK42" s="90"/>
      <c r="CL42" s="90"/>
      <c r="CM42" s="90"/>
      <c r="CN42" s="90"/>
      <c r="CO42" s="90"/>
      <c r="CP42" s="90"/>
      <c r="CQ42" s="90"/>
      <c r="CR42" s="90"/>
      <c r="CS42" s="90"/>
      <c r="CT42" s="90"/>
      <c r="CU42" s="90"/>
      <c r="CV42" s="90"/>
      <c r="CW42" s="90"/>
      <c r="CX42" s="90"/>
      <c r="CY42" s="90"/>
      <c r="CZ42" s="90"/>
      <c r="DA42" s="90"/>
      <c r="DB42" s="90"/>
      <c r="DC42" s="90"/>
      <c r="DD42" s="90"/>
      <c r="DE42" s="90"/>
      <c r="DF42" s="90"/>
      <c r="DG42" s="90"/>
      <c r="DH42" s="90"/>
      <c r="DI42" s="90"/>
      <c r="DJ42" s="90"/>
      <c r="DK42" s="90"/>
      <c r="DL42" s="90"/>
      <c r="DM42" s="90"/>
      <c r="DN42" s="90"/>
      <c r="DO42" s="90"/>
      <c r="DP42" s="90"/>
      <c r="DQ42" s="90"/>
      <c r="DR42" s="90"/>
      <c r="DS42" s="90"/>
      <c r="DT42" s="90"/>
      <c r="DU42" s="90"/>
      <c r="DV42" s="90"/>
      <c r="DW42" s="90"/>
      <c r="DX42" s="90"/>
      <c r="DY42" s="90"/>
      <c r="DZ42" s="90"/>
      <c r="EA42" s="90"/>
      <c r="EB42" s="90"/>
      <c r="EC42" s="90"/>
      <c r="ED42" s="90"/>
      <c r="EE42" s="90"/>
      <c r="EF42" s="90"/>
      <c r="EG42" s="90"/>
      <c r="EH42" s="90"/>
      <c r="EI42" s="90"/>
      <c r="EJ42" s="90"/>
      <c r="EK42" s="90"/>
      <c r="EL42" s="90"/>
      <c r="EM42" s="90"/>
      <c r="EN42" s="90"/>
      <c r="EO42" s="90"/>
      <c r="EP42" s="90"/>
      <c r="EQ42" s="90"/>
      <c r="ER42" s="90"/>
      <c r="ES42" s="90"/>
      <c r="ET42" s="90"/>
      <c r="EU42" s="90"/>
      <c r="EV42" s="90"/>
      <c r="EW42" s="90"/>
      <c r="EX42" s="90"/>
      <c r="EY42" s="90"/>
      <c r="EZ42" s="90"/>
      <c r="FA42" s="90"/>
      <c r="FB42" s="90"/>
      <c r="FC42" s="90"/>
      <c r="FD42" s="90"/>
      <c r="FE42" s="90"/>
      <c r="FF42" s="90"/>
      <c r="FG42" s="90"/>
      <c r="FH42" s="90"/>
      <c r="FI42" s="90"/>
      <c r="FJ42" s="90"/>
      <c r="FK42" s="90"/>
    </row>
    <row r="43" spans="2:167" ht="15.75">
      <c r="B43" s="139" t="s">
        <v>44</v>
      </c>
      <c r="C43" s="140">
        <v>10</v>
      </c>
      <c r="D43" s="141" t="s">
        <v>38</v>
      </c>
      <c r="E43" s="180"/>
      <c r="F43" s="182"/>
      <c r="G43" s="182"/>
      <c r="H43" s="182"/>
      <c r="I43" s="182"/>
      <c r="J43" s="182"/>
      <c r="K43" s="182"/>
      <c r="L43" s="182"/>
      <c r="M43" s="182"/>
      <c r="N43" s="182"/>
      <c r="O43" s="182"/>
      <c r="P43" s="182"/>
      <c r="Q43" s="182"/>
      <c r="R43" s="182"/>
      <c r="S43" s="184"/>
    </row>
    <row r="44" spans="2:167" ht="15.75">
      <c r="B44" s="139" t="s">
        <v>45</v>
      </c>
      <c r="C44" s="140">
        <v>700</v>
      </c>
      <c r="D44" s="141" t="s">
        <v>38</v>
      </c>
      <c r="E44" s="180"/>
      <c r="F44" s="182"/>
      <c r="G44" s="182"/>
      <c r="H44" s="182"/>
      <c r="I44" s="182"/>
      <c r="J44" s="182"/>
      <c r="K44" s="182"/>
      <c r="L44" s="182"/>
      <c r="M44" s="182"/>
      <c r="N44" s="182"/>
      <c r="O44" s="182"/>
      <c r="P44" s="182"/>
      <c r="Q44" s="182"/>
      <c r="R44" s="182"/>
      <c r="S44" s="184"/>
    </row>
    <row r="45" spans="2:167" s="14" customFormat="1" ht="15.75">
      <c r="B45" s="139" t="s">
        <v>46</v>
      </c>
      <c r="C45" s="140">
        <v>700</v>
      </c>
      <c r="D45" s="141" t="s">
        <v>38</v>
      </c>
      <c r="E45" s="180"/>
      <c r="F45" s="182"/>
      <c r="G45" s="182"/>
      <c r="H45" s="182"/>
      <c r="I45" s="182"/>
      <c r="J45" s="182"/>
      <c r="K45" s="182"/>
      <c r="L45" s="182"/>
      <c r="M45" s="182"/>
      <c r="N45" s="182"/>
      <c r="O45" s="182"/>
      <c r="P45" s="182"/>
      <c r="Q45" s="182"/>
      <c r="R45" s="182"/>
      <c r="S45" s="184"/>
      <c r="T45" s="90"/>
      <c r="U45" s="90"/>
      <c r="V45" s="90"/>
      <c r="W45" s="90"/>
      <c r="X45" s="90"/>
      <c r="Y45" s="90"/>
      <c r="Z45" s="90"/>
      <c r="AA45" s="90"/>
      <c r="AB45" s="90"/>
      <c r="AC45" s="90"/>
      <c r="AD45" s="90"/>
      <c r="AE45" s="90"/>
      <c r="AF45" s="90"/>
      <c r="AG45" s="90"/>
      <c r="AH45" s="90"/>
      <c r="AI45" s="90"/>
      <c r="AJ45" s="90"/>
      <c r="AK45" s="90"/>
      <c r="AL45" s="90"/>
      <c r="AM45" s="90"/>
      <c r="AN45" s="90"/>
      <c r="AO45" s="90"/>
      <c r="AP45" s="90"/>
      <c r="AQ45" s="90"/>
      <c r="AR45" s="90"/>
      <c r="AS45" s="90"/>
      <c r="AT45" s="90"/>
      <c r="AU45" s="90"/>
      <c r="AV45" s="90"/>
      <c r="AW45" s="90"/>
      <c r="AX45" s="90"/>
      <c r="AY45" s="90"/>
      <c r="AZ45" s="90"/>
      <c r="BA45" s="90"/>
      <c r="BB45" s="90"/>
      <c r="BC45" s="90"/>
      <c r="BD45" s="90"/>
      <c r="BE45" s="90"/>
      <c r="BF45" s="90"/>
      <c r="BG45" s="90"/>
      <c r="BH45" s="90"/>
      <c r="BI45" s="90"/>
      <c r="BJ45" s="90"/>
      <c r="BK45" s="90"/>
      <c r="BL45" s="90"/>
      <c r="BM45" s="90"/>
      <c r="BN45" s="90"/>
      <c r="BO45" s="90"/>
      <c r="BP45" s="90"/>
      <c r="BQ45" s="90"/>
      <c r="BR45" s="90"/>
      <c r="BS45" s="90"/>
      <c r="BT45" s="90"/>
      <c r="BU45" s="90"/>
      <c r="BV45" s="90"/>
      <c r="BW45" s="90"/>
      <c r="BX45" s="90"/>
      <c r="BY45" s="90"/>
      <c r="BZ45" s="90"/>
      <c r="CA45" s="90"/>
      <c r="CB45" s="90"/>
      <c r="CC45" s="90"/>
      <c r="CD45" s="90"/>
      <c r="CE45" s="90"/>
      <c r="CF45" s="90"/>
      <c r="CG45" s="90"/>
      <c r="CH45" s="90"/>
      <c r="CI45" s="90"/>
      <c r="CJ45" s="90"/>
      <c r="CK45" s="90"/>
      <c r="CL45" s="90"/>
      <c r="CM45" s="90"/>
      <c r="CN45" s="90"/>
      <c r="CO45" s="90"/>
      <c r="CP45" s="90"/>
      <c r="CQ45" s="90"/>
      <c r="CR45" s="90"/>
      <c r="CS45" s="90"/>
      <c r="CT45" s="90"/>
      <c r="CU45" s="90"/>
      <c r="CV45" s="90"/>
      <c r="CW45" s="90"/>
      <c r="CX45" s="90"/>
      <c r="CY45" s="90"/>
      <c r="CZ45" s="90"/>
      <c r="DA45" s="90"/>
      <c r="DB45" s="90"/>
      <c r="DC45" s="90"/>
      <c r="DD45" s="90"/>
      <c r="DE45" s="90"/>
      <c r="DF45" s="90"/>
      <c r="DG45" s="90"/>
      <c r="DH45" s="90"/>
      <c r="DI45" s="90"/>
      <c r="DJ45" s="90"/>
      <c r="DK45" s="90"/>
      <c r="DL45" s="90"/>
      <c r="DM45" s="90"/>
      <c r="DN45" s="90"/>
      <c r="DO45" s="90"/>
      <c r="DP45" s="90"/>
      <c r="DQ45" s="90"/>
      <c r="DR45" s="90"/>
      <c r="DS45" s="90"/>
      <c r="DT45" s="90"/>
      <c r="DU45" s="90"/>
      <c r="DV45" s="90"/>
      <c r="DW45" s="90"/>
      <c r="DX45" s="90"/>
      <c r="DY45" s="90"/>
      <c r="DZ45" s="90"/>
      <c r="EA45" s="90"/>
      <c r="EB45" s="90"/>
      <c r="EC45" s="90"/>
      <c r="ED45" s="90"/>
      <c r="EE45" s="90"/>
      <c r="EF45" s="90"/>
      <c r="EG45" s="90"/>
      <c r="EH45" s="90"/>
      <c r="EI45" s="90"/>
      <c r="EJ45" s="90"/>
      <c r="EK45" s="90"/>
      <c r="EL45" s="90"/>
      <c r="EM45" s="90"/>
      <c r="EN45" s="90"/>
      <c r="EO45" s="90"/>
      <c r="EP45" s="90"/>
      <c r="EQ45" s="90"/>
      <c r="ER45" s="90"/>
      <c r="ES45" s="90"/>
      <c r="ET45" s="90"/>
      <c r="EU45" s="90"/>
      <c r="EV45" s="90"/>
      <c r="EW45" s="90"/>
      <c r="EX45" s="90"/>
      <c r="EY45" s="90"/>
      <c r="EZ45" s="90"/>
      <c r="FA45" s="90"/>
      <c r="FB45" s="90"/>
      <c r="FC45" s="90"/>
      <c r="FD45" s="90"/>
      <c r="FE45" s="90"/>
      <c r="FF45" s="90"/>
      <c r="FG45" s="90"/>
      <c r="FH45" s="90"/>
      <c r="FI45" s="90"/>
      <c r="FJ45" s="90"/>
      <c r="FK45" s="90"/>
    </row>
    <row r="46" spans="2:167" ht="15.75">
      <c r="B46" s="139" t="s">
        <v>47</v>
      </c>
      <c r="C46" s="140">
        <v>2</v>
      </c>
      <c r="D46" s="141" t="s">
        <v>38</v>
      </c>
      <c r="E46" s="180"/>
      <c r="F46" s="182"/>
      <c r="G46" s="182"/>
      <c r="H46" s="182"/>
      <c r="I46" s="182"/>
      <c r="J46" s="182"/>
      <c r="K46" s="182"/>
      <c r="L46" s="182"/>
      <c r="M46" s="182"/>
      <c r="N46" s="182"/>
      <c r="O46" s="182"/>
      <c r="P46" s="182"/>
      <c r="Q46" s="182"/>
      <c r="R46" s="182"/>
      <c r="S46" s="184"/>
    </row>
    <row r="47" spans="2:167" ht="15.75">
      <c r="B47" s="142" t="s">
        <v>48</v>
      </c>
      <c r="C47" s="143">
        <v>250</v>
      </c>
      <c r="D47" s="144" t="s">
        <v>0</v>
      </c>
      <c r="E47" s="180"/>
      <c r="F47" s="182"/>
      <c r="G47" s="182"/>
      <c r="H47" s="182"/>
      <c r="I47" s="182"/>
      <c r="J47" s="182"/>
      <c r="K47" s="182"/>
      <c r="L47" s="182"/>
      <c r="M47" s="182"/>
      <c r="N47" s="182"/>
      <c r="O47" s="182"/>
      <c r="P47" s="182"/>
      <c r="Q47" s="182"/>
      <c r="R47" s="182"/>
      <c r="S47" s="184"/>
    </row>
    <row r="48" spans="2:167" ht="15.75">
      <c r="B48" s="139" t="s">
        <v>49</v>
      </c>
      <c r="C48" s="140">
        <v>10</v>
      </c>
      <c r="D48" s="141" t="s">
        <v>38</v>
      </c>
      <c r="E48" s="180"/>
      <c r="F48" s="182"/>
      <c r="G48" s="182"/>
      <c r="H48" s="182"/>
      <c r="I48" s="182"/>
      <c r="J48" s="182"/>
      <c r="K48" s="182"/>
      <c r="L48" s="182"/>
      <c r="M48" s="182"/>
      <c r="N48" s="182"/>
      <c r="O48" s="182"/>
      <c r="P48" s="182"/>
      <c r="Q48" s="182"/>
      <c r="R48" s="182"/>
      <c r="S48" s="184"/>
    </row>
    <row r="49" spans="2:167" ht="15.75">
      <c r="B49" s="142" t="s">
        <v>50</v>
      </c>
      <c r="C49" s="143">
        <v>1</v>
      </c>
      <c r="D49" s="144" t="s">
        <v>0</v>
      </c>
      <c r="E49" s="180"/>
      <c r="F49" s="182"/>
      <c r="G49" s="182"/>
      <c r="H49" s="182"/>
      <c r="I49" s="182"/>
      <c r="J49" s="182"/>
      <c r="K49" s="182"/>
      <c r="L49" s="182"/>
      <c r="M49" s="182"/>
      <c r="N49" s="182"/>
      <c r="O49" s="182"/>
      <c r="P49" s="182"/>
      <c r="Q49" s="182"/>
      <c r="R49" s="182"/>
      <c r="S49" s="184"/>
    </row>
    <row r="50" spans="2:167" ht="15.75">
      <c r="B50" s="139" t="s">
        <v>51</v>
      </c>
      <c r="C50" s="140">
        <v>300</v>
      </c>
      <c r="D50" s="141" t="s">
        <v>38</v>
      </c>
      <c r="E50" s="180"/>
      <c r="F50" s="182"/>
      <c r="G50" s="182"/>
      <c r="H50" s="182"/>
      <c r="I50" s="182"/>
      <c r="J50" s="182"/>
      <c r="K50" s="182"/>
      <c r="L50" s="182"/>
      <c r="M50" s="182"/>
      <c r="N50" s="182"/>
      <c r="O50" s="182"/>
      <c r="P50" s="182"/>
      <c r="Q50" s="182"/>
      <c r="R50" s="182"/>
      <c r="S50" s="184"/>
    </row>
    <row r="51" spans="2:167" ht="15.75">
      <c r="B51" s="139" t="s">
        <v>52</v>
      </c>
      <c r="C51" s="140">
        <v>15</v>
      </c>
      <c r="D51" s="141" t="s">
        <v>38</v>
      </c>
      <c r="E51" s="180"/>
      <c r="F51" s="182"/>
      <c r="G51" s="182"/>
      <c r="H51" s="182"/>
      <c r="I51" s="182"/>
      <c r="J51" s="182"/>
      <c r="K51" s="182"/>
      <c r="L51" s="182"/>
      <c r="M51" s="182"/>
      <c r="N51" s="182"/>
      <c r="O51" s="182"/>
      <c r="P51" s="182"/>
      <c r="Q51" s="182"/>
      <c r="R51" s="182"/>
      <c r="S51" s="184"/>
    </row>
    <row r="52" spans="2:167" ht="15.75">
      <c r="B52" s="139" t="s">
        <v>53</v>
      </c>
      <c r="C52" s="140">
        <v>50</v>
      </c>
      <c r="D52" s="141" t="s">
        <v>38</v>
      </c>
      <c r="E52" s="180"/>
      <c r="F52" s="182"/>
      <c r="G52" s="182"/>
      <c r="H52" s="182"/>
      <c r="I52" s="182"/>
      <c r="J52" s="182"/>
      <c r="K52" s="182"/>
      <c r="L52" s="182"/>
      <c r="M52" s="182"/>
      <c r="N52" s="182"/>
      <c r="O52" s="182"/>
      <c r="P52" s="182"/>
      <c r="Q52" s="182"/>
      <c r="R52" s="182"/>
      <c r="S52" s="184"/>
    </row>
    <row r="53" spans="2:167" ht="15.75">
      <c r="B53" s="139" t="s">
        <v>54</v>
      </c>
      <c r="C53" s="140">
        <v>1</v>
      </c>
      <c r="D53" s="141" t="s">
        <v>38</v>
      </c>
      <c r="E53" s="180"/>
      <c r="F53" s="182"/>
      <c r="G53" s="182"/>
      <c r="H53" s="182"/>
      <c r="I53" s="182"/>
      <c r="J53" s="182"/>
      <c r="K53" s="182"/>
      <c r="L53" s="182"/>
      <c r="M53" s="182"/>
      <c r="N53" s="182"/>
      <c r="O53" s="182"/>
      <c r="P53" s="182"/>
      <c r="Q53" s="182"/>
      <c r="R53" s="182"/>
      <c r="S53" s="184"/>
    </row>
    <row r="54" spans="2:167" ht="15.75">
      <c r="B54" s="139" t="s">
        <v>55</v>
      </c>
      <c r="C54" s="140">
        <v>100</v>
      </c>
      <c r="D54" s="141" t="s">
        <v>38</v>
      </c>
      <c r="E54" s="180"/>
      <c r="F54" s="182"/>
      <c r="G54" s="182"/>
      <c r="H54" s="182"/>
      <c r="I54" s="182"/>
      <c r="J54" s="182"/>
      <c r="K54" s="182"/>
      <c r="L54" s="182"/>
      <c r="M54" s="182"/>
      <c r="N54" s="182"/>
      <c r="O54" s="182"/>
      <c r="P54" s="182"/>
      <c r="Q54" s="182"/>
      <c r="R54" s="182"/>
      <c r="S54" s="184"/>
    </row>
    <row r="55" spans="2:167" ht="18.75">
      <c r="B55" s="142" t="s">
        <v>78</v>
      </c>
      <c r="C55" s="143">
        <v>10</v>
      </c>
      <c r="D55" s="144" t="s">
        <v>0</v>
      </c>
      <c r="E55" s="180"/>
      <c r="F55" s="182"/>
      <c r="G55" s="182"/>
      <c r="H55" s="182"/>
      <c r="I55" s="182"/>
      <c r="J55" s="182"/>
      <c r="K55" s="182"/>
      <c r="L55" s="182"/>
      <c r="M55" s="182"/>
      <c r="N55" s="182"/>
      <c r="O55" s="182"/>
      <c r="P55" s="182"/>
      <c r="Q55" s="182"/>
      <c r="R55" s="182"/>
      <c r="S55" s="184"/>
    </row>
    <row r="56" spans="2:167" ht="15.75">
      <c r="B56" s="139" t="s">
        <v>56</v>
      </c>
      <c r="C56" s="140">
        <v>20</v>
      </c>
      <c r="D56" s="141" t="s">
        <v>38</v>
      </c>
      <c r="E56" s="180"/>
      <c r="F56" s="182"/>
      <c r="G56" s="182"/>
      <c r="H56" s="182"/>
      <c r="I56" s="182"/>
      <c r="J56" s="182"/>
      <c r="K56" s="182"/>
      <c r="L56" s="182"/>
      <c r="M56" s="182"/>
      <c r="N56" s="182"/>
      <c r="O56" s="182"/>
      <c r="P56" s="182"/>
      <c r="Q56" s="182"/>
      <c r="R56" s="182"/>
      <c r="S56" s="184"/>
    </row>
    <row r="57" spans="2:167" ht="18.75">
      <c r="B57" s="142" t="s">
        <v>79</v>
      </c>
      <c r="C57" s="143">
        <v>250</v>
      </c>
      <c r="D57" s="144" t="s">
        <v>0</v>
      </c>
      <c r="E57" s="180"/>
      <c r="F57" s="182"/>
      <c r="G57" s="182"/>
      <c r="H57" s="182"/>
      <c r="I57" s="182"/>
      <c r="J57" s="182"/>
      <c r="K57" s="182"/>
      <c r="L57" s="182"/>
      <c r="M57" s="182"/>
      <c r="N57" s="182"/>
      <c r="O57" s="182"/>
      <c r="P57" s="182"/>
      <c r="Q57" s="182"/>
      <c r="R57" s="182"/>
      <c r="S57" s="184"/>
    </row>
    <row r="58" spans="2:167" ht="15.75">
      <c r="B58" s="139" t="s">
        <v>57</v>
      </c>
      <c r="C58" s="140">
        <v>0.2</v>
      </c>
      <c r="D58" s="141" t="s">
        <v>38</v>
      </c>
      <c r="E58" s="180"/>
      <c r="F58" s="182"/>
      <c r="G58" s="182"/>
      <c r="H58" s="182"/>
      <c r="I58" s="182"/>
      <c r="J58" s="182"/>
      <c r="K58" s="182"/>
      <c r="L58" s="182"/>
      <c r="M58" s="182"/>
      <c r="N58" s="182"/>
      <c r="O58" s="182"/>
      <c r="P58" s="182"/>
      <c r="Q58" s="182"/>
      <c r="R58" s="182"/>
      <c r="S58" s="184"/>
    </row>
    <row r="59" spans="2:167" s="14" customFormat="1" ht="15.75">
      <c r="B59" s="142" t="s">
        <v>58</v>
      </c>
      <c r="C59" s="143">
        <v>500</v>
      </c>
      <c r="D59" s="144" t="s">
        <v>0</v>
      </c>
      <c r="E59" s="180"/>
      <c r="F59" s="182"/>
      <c r="G59" s="182"/>
      <c r="H59" s="182"/>
      <c r="I59" s="182"/>
      <c r="J59" s="182"/>
      <c r="K59" s="182"/>
      <c r="L59" s="182"/>
      <c r="M59" s="182"/>
      <c r="N59" s="182"/>
      <c r="O59" s="182"/>
      <c r="P59" s="182"/>
      <c r="Q59" s="182"/>
      <c r="R59" s="182"/>
      <c r="S59" s="184"/>
      <c r="T59" s="90"/>
      <c r="U59" s="90"/>
      <c r="V59" s="90"/>
      <c r="W59" s="90"/>
      <c r="X59" s="90"/>
      <c r="Y59" s="90"/>
      <c r="Z59" s="90"/>
      <c r="AA59" s="90"/>
      <c r="AB59" s="90"/>
      <c r="AC59" s="90"/>
      <c r="AD59" s="90"/>
      <c r="AE59" s="90"/>
      <c r="AF59" s="90"/>
      <c r="AG59" s="90"/>
      <c r="AH59" s="90"/>
      <c r="AI59" s="90"/>
      <c r="AJ59" s="90"/>
      <c r="AK59" s="90"/>
      <c r="AL59" s="90"/>
      <c r="AM59" s="90"/>
      <c r="AN59" s="90"/>
      <c r="AO59" s="90"/>
      <c r="AP59" s="90"/>
      <c r="AQ59" s="90"/>
      <c r="AR59" s="90"/>
      <c r="AS59" s="90"/>
      <c r="AT59" s="90"/>
      <c r="AU59" s="90"/>
      <c r="AV59" s="90"/>
      <c r="AW59" s="90"/>
      <c r="AX59" s="90"/>
      <c r="AY59" s="90"/>
      <c r="AZ59" s="90"/>
      <c r="BA59" s="90"/>
      <c r="BB59" s="90"/>
      <c r="BC59" s="90"/>
      <c r="BD59" s="90"/>
      <c r="BE59" s="90"/>
      <c r="BF59" s="90"/>
      <c r="BG59" s="90"/>
      <c r="BH59" s="90"/>
      <c r="BI59" s="90"/>
      <c r="BJ59" s="90"/>
      <c r="BK59" s="90"/>
      <c r="BL59" s="90"/>
      <c r="BM59" s="90"/>
      <c r="BN59" s="90"/>
      <c r="BO59" s="90"/>
      <c r="BP59" s="90"/>
      <c r="BQ59" s="90"/>
      <c r="BR59" s="90"/>
      <c r="BS59" s="90"/>
      <c r="BT59" s="90"/>
      <c r="BU59" s="90"/>
      <c r="BV59" s="90"/>
      <c r="BW59" s="90"/>
      <c r="BX59" s="90"/>
      <c r="BY59" s="90"/>
      <c r="BZ59" s="90"/>
      <c r="CA59" s="90"/>
      <c r="CB59" s="90"/>
      <c r="CC59" s="90"/>
      <c r="CD59" s="90"/>
      <c r="CE59" s="90"/>
      <c r="CF59" s="90"/>
      <c r="CG59" s="90"/>
      <c r="CH59" s="90"/>
      <c r="CI59" s="90"/>
      <c r="CJ59" s="90"/>
      <c r="CK59" s="90"/>
      <c r="CL59" s="90"/>
      <c r="CM59" s="90"/>
      <c r="CN59" s="90"/>
      <c r="CO59" s="90"/>
      <c r="CP59" s="90"/>
      <c r="CQ59" s="90"/>
      <c r="CR59" s="90"/>
      <c r="CS59" s="90"/>
      <c r="CT59" s="90"/>
      <c r="CU59" s="90"/>
      <c r="CV59" s="90"/>
      <c r="CW59" s="90"/>
      <c r="CX59" s="90"/>
      <c r="CY59" s="90"/>
      <c r="CZ59" s="90"/>
      <c r="DA59" s="90"/>
      <c r="DB59" s="90"/>
      <c r="DC59" s="90"/>
      <c r="DD59" s="90"/>
      <c r="DE59" s="90"/>
      <c r="DF59" s="90"/>
      <c r="DG59" s="90"/>
      <c r="DH59" s="90"/>
      <c r="DI59" s="90"/>
      <c r="DJ59" s="90"/>
      <c r="DK59" s="90"/>
      <c r="DL59" s="90"/>
      <c r="DM59" s="90"/>
      <c r="DN59" s="90"/>
      <c r="DO59" s="90"/>
      <c r="DP59" s="90"/>
      <c r="DQ59" s="90"/>
      <c r="DR59" s="90"/>
      <c r="DS59" s="90"/>
      <c r="DT59" s="90"/>
      <c r="DU59" s="90"/>
      <c r="DV59" s="90"/>
      <c r="DW59" s="90"/>
      <c r="DX59" s="90"/>
      <c r="DY59" s="90"/>
      <c r="DZ59" s="90"/>
      <c r="EA59" s="90"/>
      <c r="EB59" s="90"/>
      <c r="EC59" s="90"/>
      <c r="ED59" s="90"/>
      <c r="EE59" s="90"/>
      <c r="EF59" s="90"/>
      <c r="EG59" s="90"/>
      <c r="EH59" s="90"/>
      <c r="EI59" s="90"/>
      <c r="EJ59" s="90"/>
      <c r="EK59" s="90"/>
      <c r="EL59" s="90"/>
      <c r="EM59" s="90"/>
      <c r="EN59" s="90"/>
      <c r="EO59" s="90"/>
      <c r="EP59" s="90"/>
      <c r="EQ59" s="90"/>
      <c r="ER59" s="90"/>
      <c r="ES59" s="90"/>
      <c r="ET59" s="90"/>
      <c r="EU59" s="90"/>
      <c r="EV59" s="90"/>
      <c r="EW59" s="90"/>
      <c r="EX59" s="90"/>
      <c r="EY59" s="90"/>
      <c r="EZ59" s="90"/>
      <c r="FA59" s="90"/>
      <c r="FB59" s="90"/>
      <c r="FC59" s="90"/>
      <c r="FD59" s="90"/>
      <c r="FE59" s="90"/>
      <c r="FF59" s="90"/>
      <c r="FG59" s="90"/>
      <c r="FH59" s="90"/>
      <c r="FI59" s="90"/>
      <c r="FJ59" s="90"/>
      <c r="FK59" s="90"/>
    </row>
    <row r="60" spans="2:167" ht="15.75">
      <c r="B60" s="142" t="s">
        <v>59</v>
      </c>
      <c r="C60" s="143">
        <v>1</v>
      </c>
      <c r="D60" s="144" t="s">
        <v>0</v>
      </c>
      <c r="E60" s="180"/>
      <c r="F60" s="182"/>
      <c r="G60" s="182"/>
      <c r="H60" s="182"/>
      <c r="I60" s="182"/>
      <c r="J60" s="182"/>
      <c r="K60" s="182"/>
      <c r="L60" s="182"/>
      <c r="M60" s="182"/>
      <c r="N60" s="182"/>
      <c r="O60" s="182"/>
      <c r="P60" s="182"/>
      <c r="Q60" s="182"/>
      <c r="R60" s="182"/>
      <c r="S60" s="184"/>
    </row>
    <row r="61" spans="2:167" s="14" customFormat="1" ht="15.75">
      <c r="B61" s="145" t="s">
        <v>92</v>
      </c>
      <c r="C61" s="146"/>
      <c r="D61" s="147" t="s">
        <v>38</v>
      </c>
      <c r="E61" s="180"/>
      <c r="F61" s="182"/>
      <c r="G61" s="182"/>
      <c r="H61" s="182"/>
      <c r="I61" s="182"/>
      <c r="J61" s="182"/>
      <c r="K61" s="182"/>
      <c r="L61" s="182"/>
      <c r="M61" s="182"/>
      <c r="N61" s="182"/>
      <c r="O61" s="182"/>
      <c r="P61" s="182"/>
      <c r="Q61" s="182"/>
      <c r="R61" s="182"/>
      <c r="S61" s="184"/>
      <c r="T61" s="90"/>
      <c r="U61" s="90"/>
      <c r="V61" s="90"/>
      <c r="W61" s="90"/>
      <c r="X61" s="90"/>
      <c r="Y61" s="90"/>
      <c r="Z61" s="90"/>
      <c r="AA61" s="90"/>
      <c r="AB61" s="90"/>
      <c r="AC61" s="90"/>
      <c r="AD61" s="90"/>
      <c r="AE61" s="90"/>
      <c r="AF61" s="90"/>
      <c r="AG61" s="90"/>
      <c r="AH61" s="90"/>
      <c r="AI61" s="90"/>
      <c r="AJ61" s="90"/>
      <c r="AK61" s="90"/>
      <c r="AL61" s="90"/>
      <c r="AM61" s="90"/>
      <c r="AN61" s="90"/>
      <c r="AO61" s="90"/>
      <c r="AP61" s="90"/>
      <c r="AQ61" s="90"/>
      <c r="AR61" s="90"/>
      <c r="AS61" s="90"/>
      <c r="AT61" s="90"/>
      <c r="AU61" s="90"/>
      <c r="AV61" s="90"/>
      <c r="AW61" s="90"/>
      <c r="AX61" s="90"/>
      <c r="AY61" s="90"/>
      <c r="AZ61" s="90"/>
      <c r="BA61" s="90"/>
      <c r="BB61" s="90"/>
      <c r="BC61" s="90"/>
      <c r="BD61" s="90"/>
      <c r="BE61" s="90"/>
      <c r="BF61" s="90"/>
      <c r="BG61" s="90"/>
      <c r="BH61" s="90"/>
      <c r="BI61" s="90"/>
      <c r="BJ61" s="90"/>
      <c r="BK61" s="90"/>
      <c r="BL61" s="90"/>
      <c r="BM61" s="90"/>
      <c r="BN61" s="90"/>
      <c r="BO61" s="90"/>
      <c r="BP61" s="90"/>
      <c r="BQ61" s="90"/>
      <c r="BR61" s="90"/>
      <c r="BS61" s="90"/>
      <c r="BT61" s="90"/>
      <c r="BU61" s="90"/>
      <c r="BV61" s="90"/>
      <c r="BW61" s="90"/>
      <c r="BX61" s="90"/>
      <c r="BY61" s="90"/>
      <c r="BZ61" s="90"/>
      <c r="CA61" s="90"/>
      <c r="CB61" s="90"/>
      <c r="CC61" s="90"/>
      <c r="CD61" s="90"/>
      <c r="CE61" s="90"/>
      <c r="CF61" s="90"/>
      <c r="CG61" s="90"/>
      <c r="CH61" s="90"/>
      <c r="CI61" s="90"/>
      <c r="CJ61" s="90"/>
      <c r="CK61" s="90"/>
      <c r="CL61" s="90"/>
      <c r="CM61" s="90"/>
      <c r="CN61" s="90"/>
      <c r="CO61" s="90"/>
      <c r="CP61" s="90"/>
      <c r="CQ61" s="90"/>
      <c r="CR61" s="90"/>
      <c r="CS61" s="90"/>
      <c r="CT61" s="90"/>
      <c r="CU61" s="90"/>
      <c r="CV61" s="90"/>
      <c r="CW61" s="90"/>
      <c r="CX61" s="90"/>
      <c r="CY61" s="90"/>
      <c r="CZ61" s="90"/>
      <c r="DA61" s="90"/>
      <c r="DB61" s="90"/>
      <c r="DC61" s="90"/>
      <c r="DD61" s="90"/>
      <c r="DE61" s="90"/>
      <c r="DF61" s="90"/>
      <c r="DG61" s="90"/>
      <c r="DH61" s="90"/>
      <c r="DI61" s="90"/>
      <c r="DJ61" s="90"/>
      <c r="DK61" s="90"/>
      <c r="DL61" s="90"/>
      <c r="DM61" s="90"/>
      <c r="DN61" s="90"/>
      <c r="DO61" s="90"/>
      <c r="DP61" s="90"/>
      <c r="DQ61" s="90"/>
      <c r="DR61" s="90"/>
      <c r="DS61" s="90"/>
      <c r="DT61" s="90"/>
      <c r="DU61" s="90"/>
      <c r="DV61" s="90"/>
      <c r="DW61" s="90"/>
      <c r="DX61" s="90"/>
      <c r="DY61" s="90"/>
      <c r="DZ61" s="90"/>
      <c r="EA61" s="90"/>
      <c r="EB61" s="90"/>
      <c r="EC61" s="90"/>
      <c r="ED61" s="90"/>
      <c r="EE61" s="90"/>
      <c r="EF61" s="90"/>
      <c r="EG61" s="90"/>
      <c r="EH61" s="90"/>
      <c r="EI61" s="90"/>
      <c r="EJ61" s="90"/>
      <c r="EK61" s="90"/>
      <c r="EL61" s="90"/>
      <c r="EM61" s="90"/>
      <c r="EN61" s="90"/>
      <c r="EO61" s="90"/>
      <c r="EP61" s="90"/>
      <c r="EQ61" s="90"/>
      <c r="ER61" s="90"/>
      <c r="ES61" s="90"/>
      <c r="ET61" s="90"/>
      <c r="EU61" s="90"/>
      <c r="EV61" s="90"/>
      <c r="EW61" s="90"/>
      <c r="EX61" s="90"/>
      <c r="EY61" s="90"/>
      <c r="EZ61" s="90"/>
      <c r="FA61" s="90"/>
      <c r="FB61" s="90"/>
      <c r="FC61" s="90"/>
      <c r="FD61" s="90"/>
      <c r="FE61" s="90"/>
      <c r="FF61" s="90"/>
      <c r="FG61" s="90"/>
      <c r="FH61" s="90"/>
      <c r="FI61" s="90"/>
      <c r="FJ61" s="90"/>
      <c r="FK61" s="90"/>
    </row>
    <row r="62" spans="2:167" ht="16.5" thickBot="1">
      <c r="B62" s="148"/>
      <c r="C62" s="149"/>
      <c r="D62" s="150"/>
      <c r="E62" s="185"/>
      <c r="F62" s="186"/>
      <c r="G62" s="186"/>
      <c r="H62" s="186"/>
      <c r="I62" s="186"/>
      <c r="J62" s="186"/>
      <c r="K62" s="186"/>
      <c r="L62" s="186"/>
      <c r="M62" s="186"/>
      <c r="N62" s="186"/>
      <c r="O62" s="186"/>
      <c r="P62" s="186"/>
      <c r="Q62" s="186"/>
      <c r="R62" s="186"/>
      <c r="S62" s="187"/>
    </row>
    <row r="63" spans="2:167" ht="9.9499999999999993" customHeight="1">
      <c r="B63" s="75"/>
      <c r="C63" s="76"/>
      <c r="D63" s="76"/>
      <c r="E63" s="77"/>
      <c r="F63" s="77"/>
      <c r="G63" s="77"/>
      <c r="H63" s="77"/>
      <c r="I63" s="77"/>
      <c r="J63" s="77"/>
      <c r="K63" s="77"/>
      <c r="L63" s="77"/>
      <c r="M63" s="77"/>
      <c r="N63" s="77"/>
      <c r="O63" s="77"/>
      <c r="P63" s="77"/>
      <c r="Q63" s="77"/>
      <c r="R63" s="77"/>
      <c r="S63" s="78"/>
    </row>
    <row r="64" spans="2:167">
      <c r="B64" s="75"/>
      <c r="C64" s="76"/>
      <c r="D64" s="76"/>
      <c r="E64" s="167" t="s">
        <v>83</v>
      </c>
      <c r="F64" s="79"/>
      <c r="G64" s="79"/>
      <c r="H64" s="79"/>
      <c r="I64" s="79"/>
      <c r="J64" s="77"/>
      <c r="K64" s="77"/>
      <c r="L64" s="77"/>
      <c r="M64" s="77"/>
      <c r="N64" s="77"/>
      <c r="O64" s="77"/>
      <c r="P64" s="77"/>
      <c r="Q64" s="77"/>
      <c r="R64" s="77"/>
      <c r="S64" s="78"/>
    </row>
    <row r="65" spans="2:41" ht="9.9499999999999993" customHeight="1">
      <c r="B65" s="80"/>
      <c r="C65" s="81"/>
      <c r="D65" s="7"/>
      <c r="E65" s="7"/>
      <c r="F65" s="7"/>
      <c r="G65" s="7"/>
      <c r="H65" s="7"/>
      <c r="I65" s="7"/>
      <c r="J65" s="7"/>
      <c r="K65" s="7"/>
      <c r="L65" s="7"/>
      <c r="M65" s="7"/>
      <c r="N65" s="7"/>
      <c r="O65" s="7"/>
      <c r="P65" s="82"/>
      <c r="Q65" s="82"/>
      <c r="R65" s="4"/>
      <c r="S65" s="5"/>
    </row>
    <row r="66" spans="2:41" ht="31.15" customHeight="1">
      <c r="B66" s="230" t="s">
        <v>91</v>
      </c>
      <c r="C66" s="231"/>
      <c r="D66" s="231"/>
      <c r="E66" s="231"/>
      <c r="F66" s="231"/>
      <c r="G66" s="231"/>
      <c r="H66" s="231"/>
      <c r="I66" s="231"/>
      <c r="J66" s="231"/>
      <c r="K66" s="231"/>
      <c r="L66" s="231"/>
      <c r="M66" s="231"/>
      <c r="N66" s="231"/>
      <c r="O66" s="231"/>
      <c r="P66" s="231"/>
      <c r="Q66" s="231"/>
      <c r="R66" s="231"/>
      <c r="S66" s="232"/>
      <c r="T66" s="35"/>
      <c r="U66" s="35"/>
      <c r="V66" s="35"/>
      <c r="W66" s="35"/>
      <c r="X66" s="35"/>
      <c r="Y66" s="35"/>
      <c r="Z66" s="35"/>
      <c r="AA66" s="35"/>
      <c r="AB66" s="35"/>
      <c r="AC66" s="35"/>
      <c r="AD66" s="35"/>
      <c r="AE66" s="35"/>
      <c r="AF66" s="35"/>
      <c r="AG66" s="35"/>
      <c r="AH66" s="35"/>
      <c r="AI66" s="35"/>
      <c r="AJ66" s="35"/>
      <c r="AK66" s="35"/>
      <c r="AL66" s="35"/>
      <c r="AM66" s="35"/>
      <c r="AN66" s="35"/>
      <c r="AO66" s="21"/>
    </row>
    <row r="67" spans="2:41" ht="7.9" customHeight="1">
      <c r="B67" s="208"/>
      <c r="C67" s="209"/>
      <c r="D67" s="209"/>
      <c r="E67" s="209"/>
      <c r="F67" s="209"/>
      <c r="G67" s="209"/>
      <c r="H67" s="209"/>
      <c r="I67" s="209"/>
      <c r="J67" s="209"/>
      <c r="K67" s="209"/>
      <c r="L67" s="209"/>
      <c r="M67" s="209"/>
      <c r="N67" s="209"/>
      <c r="O67" s="209"/>
      <c r="P67" s="209"/>
      <c r="Q67" s="209"/>
      <c r="R67" s="209"/>
      <c r="S67" s="210"/>
      <c r="W67" s="209"/>
      <c r="X67" s="209"/>
      <c r="Y67" s="209"/>
      <c r="Z67" s="209"/>
      <c r="AA67" s="209"/>
      <c r="AB67" s="209"/>
      <c r="AC67" s="209"/>
      <c r="AD67" s="209"/>
      <c r="AE67" s="209"/>
      <c r="AF67" s="209"/>
      <c r="AG67" s="209"/>
      <c r="AH67" s="209"/>
      <c r="AI67" s="209"/>
      <c r="AJ67" s="209"/>
      <c r="AK67" s="209"/>
      <c r="AL67" s="209"/>
      <c r="AM67" s="209"/>
      <c r="AN67" s="209"/>
    </row>
    <row r="68" spans="2:41" ht="29.45" customHeight="1">
      <c r="B68" s="206"/>
      <c r="C68" s="207"/>
      <c r="D68" s="207"/>
      <c r="E68" s="207"/>
      <c r="F68" s="207"/>
      <c r="G68" s="207"/>
      <c r="H68" s="207"/>
      <c r="I68" s="207"/>
      <c r="J68" s="36"/>
      <c r="K68" s="207"/>
      <c r="L68" s="207"/>
      <c r="M68" s="207"/>
      <c r="N68" s="207"/>
      <c r="O68" s="207"/>
      <c r="P68" s="36"/>
      <c r="Q68" s="211"/>
      <c r="R68" s="207"/>
      <c r="S68" s="212"/>
      <c r="W68" s="4"/>
      <c r="X68" s="4"/>
      <c r="Y68" s="4"/>
      <c r="Z68" s="4"/>
      <c r="AA68" s="4"/>
      <c r="AB68" s="4"/>
      <c r="AC68" s="4"/>
      <c r="AD68" s="4"/>
      <c r="AE68" s="4"/>
      <c r="AF68" s="4"/>
      <c r="AG68" s="4"/>
      <c r="AH68" s="4"/>
      <c r="AI68" s="4"/>
      <c r="AJ68" s="4"/>
      <c r="AK68" s="4"/>
      <c r="AL68" s="4"/>
      <c r="AM68" s="4"/>
      <c r="AN68" s="4"/>
    </row>
    <row r="69" spans="2:41">
      <c r="B69" s="204" t="s">
        <v>21</v>
      </c>
      <c r="C69" s="205"/>
      <c r="D69" s="205"/>
      <c r="E69" s="205"/>
      <c r="F69" s="205"/>
      <c r="G69" s="205"/>
      <c r="H69" s="205"/>
      <c r="I69" s="205"/>
      <c r="J69" s="4"/>
      <c r="K69" s="213" t="s">
        <v>75</v>
      </c>
      <c r="L69" s="213"/>
      <c r="M69" s="213"/>
      <c r="N69" s="213"/>
      <c r="O69" s="213"/>
      <c r="P69" s="36"/>
      <c r="Q69" s="213" t="s">
        <v>76</v>
      </c>
      <c r="R69" s="213"/>
      <c r="S69" s="214"/>
      <c r="T69" s="13"/>
      <c r="U69" s="13"/>
      <c r="V69" s="13"/>
      <c r="W69" s="47"/>
      <c r="X69" s="47"/>
      <c r="Y69" s="36"/>
      <c r="Z69" s="36"/>
      <c r="AA69" s="47"/>
      <c r="AB69" s="4"/>
      <c r="AC69" s="4"/>
      <c r="AD69" s="4"/>
      <c r="AE69" s="4"/>
      <c r="AF69" s="4"/>
      <c r="AG69" s="4"/>
      <c r="AH69" s="4"/>
      <c r="AI69" s="4"/>
      <c r="AJ69" s="4"/>
      <c r="AK69" s="4"/>
      <c r="AL69" s="4"/>
      <c r="AM69" s="4"/>
      <c r="AN69" s="4"/>
    </row>
    <row r="70" spans="2:41" ht="15.75" thickBot="1">
      <c r="B70" s="9"/>
      <c r="C70" s="10"/>
      <c r="D70" s="10"/>
      <c r="E70" s="10"/>
      <c r="F70" s="10"/>
      <c r="G70" s="10"/>
      <c r="H70" s="10"/>
      <c r="I70" s="10"/>
      <c r="J70" s="10"/>
      <c r="K70" s="10"/>
      <c r="L70" s="10"/>
      <c r="M70" s="10"/>
      <c r="N70" s="10"/>
      <c r="O70" s="10"/>
      <c r="P70" s="10"/>
      <c r="Q70" s="10"/>
      <c r="R70" s="10"/>
      <c r="S70" s="11"/>
      <c r="W70" s="4"/>
      <c r="X70" s="4"/>
      <c r="Y70" s="4"/>
      <c r="Z70" s="4"/>
      <c r="AA70" s="4"/>
      <c r="AB70" s="4"/>
      <c r="AC70" s="4"/>
      <c r="AD70" s="4"/>
      <c r="AE70" s="4"/>
      <c r="AF70" s="4"/>
      <c r="AG70" s="4"/>
      <c r="AH70" s="4"/>
      <c r="AI70" s="4"/>
      <c r="AJ70" s="4"/>
      <c r="AK70" s="4"/>
      <c r="AL70" s="4"/>
      <c r="AM70" s="4"/>
      <c r="AN70" s="4"/>
    </row>
    <row r="71" spans="2:41" ht="15.75">
      <c r="B71" s="83" t="s">
        <v>89</v>
      </c>
      <c r="C71" s="1"/>
      <c r="D71" s="1"/>
      <c r="E71" s="1"/>
      <c r="F71" s="1"/>
      <c r="G71" s="1"/>
      <c r="H71" s="1"/>
      <c r="I71" s="1"/>
      <c r="J71" s="1"/>
      <c r="K71" s="1"/>
      <c r="L71" s="1"/>
      <c r="M71" s="1"/>
      <c r="N71" s="1"/>
      <c r="O71" s="1"/>
      <c r="P71" s="1"/>
      <c r="Q71" s="1"/>
      <c r="R71" s="1"/>
      <c r="S71" s="1"/>
    </row>
    <row r="72" spans="2:41" hidden="1"/>
    <row r="73" spans="2:41" hidden="1">
      <c r="E73" s="38" t="s">
        <v>68</v>
      </c>
      <c r="F73" s="39"/>
      <c r="G73" s="39"/>
      <c r="H73" s="39"/>
      <c r="I73" s="39"/>
      <c r="J73" s="39"/>
      <c r="K73" s="39"/>
      <c r="L73" s="39"/>
      <c r="M73" s="39"/>
      <c r="N73" s="39"/>
      <c r="O73" s="39"/>
      <c r="P73" s="39"/>
      <c r="Q73" s="39"/>
      <c r="R73" s="39"/>
      <c r="S73" s="40"/>
    </row>
    <row r="74" spans="2:41" hidden="1">
      <c r="E74" s="41" t="str">
        <f t="shared" ref="E74:S74" si="0">IF(AND(ISNUMBER(E42),E42&gt;=$C42),"yes","no")</f>
        <v>no</v>
      </c>
      <c r="F74" s="42" t="str">
        <f t="shared" si="0"/>
        <v>no</v>
      </c>
      <c r="G74" s="42" t="str">
        <f t="shared" si="0"/>
        <v>no</v>
      </c>
      <c r="H74" s="42" t="str">
        <f t="shared" si="0"/>
        <v>no</v>
      </c>
      <c r="I74" s="42" t="str">
        <f t="shared" si="0"/>
        <v>no</v>
      </c>
      <c r="J74" s="42" t="str">
        <f t="shared" si="0"/>
        <v>no</v>
      </c>
      <c r="K74" s="42" t="str">
        <f t="shared" si="0"/>
        <v>no</v>
      </c>
      <c r="L74" s="42" t="str">
        <f t="shared" si="0"/>
        <v>no</v>
      </c>
      <c r="M74" s="42" t="str">
        <f t="shared" si="0"/>
        <v>no</v>
      </c>
      <c r="N74" s="42" t="str">
        <f t="shared" si="0"/>
        <v>no</v>
      </c>
      <c r="O74" s="42" t="str">
        <f t="shared" si="0"/>
        <v>no</v>
      </c>
      <c r="P74" s="42" t="str">
        <f t="shared" si="0"/>
        <v>no</v>
      </c>
      <c r="Q74" s="42" t="str">
        <f t="shared" si="0"/>
        <v>no</v>
      </c>
      <c r="R74" s="42" t="str">
        <f t="shared" si="0"/>
        <v>no</v>
      </c>
      <c r="S74" s="43" t="str">
        <f t="shared" si="0"/>
        <v>no</v>
      </c>
    </row>
    <row r="75" spans="2:41" hidden="1">
      <c r="E75" s="41" t="str">
        <f t="shared" ref="E75:S75" si="1">IF(AND(ISNUMBER(E43),E43&gt;=$C43),"yes","no")</f>
        <v>no</v>
      </c>
      <c r="F75" s="42" t="str">
        <f t="shared" si="1"/>
        <v>no</v>
      </c>
      <c r="G75" s="42" t="str">
        <f t="shared" si="1"/>
        <v>no</v>
      </c>
      <c r="H75" s="42" t="str">
        <f t="shared" si="1"/>
        <v>no</v>
      </c>
      <c r="I75" s="42" t="str">
        <f t="shared" si="1"/>
        <v>no</v>
      </c>
      <c r="J75" s="42" t="str">
        <f t="shared" si="1"/>
        <v>no</v>
      </c>
      <c r="K75" s="42" t="str">
        <f t="shared" si="1"/>
        <v>no</v>
      </c>
      <c r="L75" s="42" t="str">
        <f t="shared" si="1"/>
        <v>no</v>
      </c>
      <c r="M75" s="42" t="str">
        <f t="shared" si="1"/>
        <v>no</v>
      </c>
      <c r="N75" s="42" t="str">
        <f t="shared" si="1"/>
        <v>no</v>
      </c>
      <c r="O75" s="42" t="str">
        <f t="shared" si="1"/>
        <v>no</v>
      </c>
      <c r="P75" s="42" t="str">
        <f t="shared" si="1"/>
        <v>no</v>
      </c>
      <c r="Q75" s="42" t="str">
        <f t="shared" si="1"/>
        <v>no</v>
      </c>
      <c r="R75" s="42" t="str">
        <f t="shared" si="1"/>
        <v>no</v>
      </c>
      <c r="S75" s="43" t="str">
        <f t="shared" si="1"/>
        <v>no</v>
      </c>
    </row>
    <row r="76" spans="2:41" hidden="1">
      <c r="E76" s="41" t="str">
        <f t="shared" ref="E76:S76" si="2">IF(AND(ISNUMBER(E44),E44&gt;=$C44),"yes","no")</f>
        <v>no</v>
      </c>
      <c r="F76" s="42" t="str">
        <f t="shared" si="2"/>
        <v>no</v>
      </c>
      <c r="G76" s="42" t="str">
        <f t="shared" si="2"/>
        <v>no</v>
      </c>
      <c r="H76" s="42" t="str">
        <f t="shared" si="2"/>
        <v>no</v>
      </c>
      <c r="I76" s="42" t="str">
        <f t="shared" si="2"/>
        <v>no</v>
      </c>
      <c r="J76" s="42" t="str">
        <f t="shared" si="2"/>
        <v>no</v>
      </c>
      <c r="K76" s="42" t="str">
        <f t="shared" si="2"/>
        <v>no</v>
      </c>
      <c r="L76" s="42" t="str">
        <f t="shared" si="2"/>
        <v>no</v>
      </c>
      <c r="M76" s="42" t="str">
        <f t="shared" si="2"/>
        <v>no</v>
      </c>
      <c r="N76" s="42" t="str">
        <f t="shared" si="2"/>
        <v>no</v>
      </c>
      <c r="O76" s="42" t="str">
        <f t="shared" si="2"/>
        <v>no</v>
      </c>
      <c r="P76" s="42" t="str">
        <f t="shared" si="2"/>
        <v>no</v>
      </c>
      <c r="Q76" s="42" t="str">
        <f t="shared" si="2"/>
        <v>no</v>
      </c>
      <c r="R76" s="42" t="str">
        <f t="shared" si="2"/>
        <v>no</v>
      </c>
      <c r="S76" s="43" t="str">
        <f t="shared" si="2"/>
        <v>no</v>
      </c>
    </row>
    <row r="77" spans="2:41" hidden="1">
      <c r="E77" s="41" t="str">
        <f t="shared" ref="E77:S77" si="3">IF(AND(ISNUMBER(E45),E45&gt;=$C45),"yes","no")</f>
        <v>no</v>
      </c>
      <c r="F77" s="42" t="str">
        <f t="shared" si="3"/>
        <v>no</v>
      </c>
      <c r="G77" s="42" t="str">
        <f t="shared" si="3"/>
        <v>no</v>
      </c>
      <c r="H77" s="42" t="str">
        <f t="shared" si="3"/>
        <v>no</v>
      </c>
      <c r="I77" s="42" t="str">
        <f t="shared" si="3"/>
        <v>no</v>
      </c>
      <c r="J77" s="42" t="str">
        <f t="shared" si="3"/>
        <v>no</v>
      </c>
      <c r="K77" s="42" t="str">
        <f t="shared" si="3"/>
        <v>no</v>
      </c>
      <c r="L77" s="42" t="str">
        <f t="shared" si="3"/>
        <v>no</v>
      </c>
      <c r="M77" s="42" t="str">
        <f t="shared" si="3"/>
        <v>no</v>
      </c>
      <c r="N77" s="42" t="str">
        <f t="shared" si="3"/>
        <v>no</v>
      </c>
      <c r="O77" s="42" t="str">
        <f t="shared" si="3"/>
        <v>no</v>
      </c>
      <c r="P77" s="42" t="str">
        <f t="shared" si="3"/>
        <v>no</v>
      </c>
      <c r="Q77" s="42" t="str">
        <f t="shared" si="3"/>
        <v>no</v>
      </c>
      <c r="R77" s="42" t="str">
        <f t="shared" si="3"/>
        <v>no</v>
      </c>
      <c r="S77" s="43" t="str">
        <f t="shared" si="3"/>
        <v>no</v>
      </c>
    </row>
    <row r="78" spans="2:41" hidden="1">
      <c r="E78" s="41" t="str">
        <f t="shared" ref="E78:S78" si="4">IF(AND(ISNUMBER(E46),E46&gt;=$C46),"yes","no")</f>
        <v>no</v>
      </c>
      <c r="F78" s="42" t="str">
        <f t="shared" si="4"/>
        <v>no</v>
      </c>
      <c r="G78" s="42" t="str">
        <f t="shared" si="4"/>
        <v>no</v>
      </c>
      <c r="H78" s="42" t="str">
        <f t="shared" si="4"/>
        <v>no</v>
      </c>
      <c r="I78" s="42" t="str">
        <f t="shared" si="4"/>
        <v>no</v>
      </c>
      <c r="J78" s="42" t="str">
        <f t="shared" si="4"/>
        <v>no</v>
      </c>
      <c r="K78" s="42" t="str">
        <f t="shared" si="4"/>
        <v>no</v>
      </c>
      <c r="L78" s="42" t="str">
        <f t="shared" si="4"/>
        <v>no</v>
      </c>
      <c r="M78" s="42" t="str">
        <f t="shared" si="4"/>
        <v>no</v>
      </c>
      <c r="N78" s="42" t="str">
        <f t="shared" si="4"/>
        <v>no</v>
      </c>
      <c r="O78" s="42" t="str">
        <f t="shared" si="4"/>
        <v>no</v>
      </c>
      <c r="P78" s="42" t="str">
        <f t="shared" si="4"/>
        <v>no</v>
      </c>
      <c r="Q78" s="42" t="str">
        <f t="shared" si="4"/>
        <v>no</v>
      </c>
      <c r="R78" s="42" t="str">
        <f t="shared" si="4"/>
        <v>no</v>
      </c>
      <c r="S78" s="43" t="str">
        <f t="shared" si="4"/>
        <v>no</v>
      </c>
    </row>
    <row r="79" spans="2:41" hidden="1">
      <c r="E79" s="41" t="str">
        <f t="shared" ref="E79:S79" si="5">IF(AND(ISNUMBER(E47),E47&gt;=$C47),"yes","no")</f>
        <v>no</v>
      </c>
      <c r="F79" s="42" t="str">
        <f t="shared" si="5"/>
        <v>no</v>
      </c>
      <c r="G79" s="42" t="str">
        <f t="shared" si="5"/>
        <v>no</v>
      </c>
      <c r="H79" s="42" t="str">
        <f t="shared" si="5"/>
        <v>no</v>
      </c>
      <c r="I79" s="42" t="str">
        <f t="shared" si="5"/>
        <v>no</v>
      </c>
      <c r="J79" s="42" t="str">
        <f t="shared" si="5"/>
        <v>no</v>
      </c>
      <c r="K79" s="42" t="str">
        <f t="shared" si="5"/>
        <v>no</v>
      </c>
      <c r="L79" s="42" t="str">
        <f t="shared" si="5"/>
        <v>no</v>
      </c>
      <c r="M79" s="42" t="str">
        <f t="shared" si="5"/>
        <v>no</v>
      </c>
      <c r="N79" s="42" t="str">
        <f t="shared" si="5"/>
        <v>no</v>
      </c>
      <c r="O79" s="42" t="str">
        <f t="shared" si="5"/>
        <v>no</v>
      </c>
      <c r="P79" s="42" t="str">
        <f t="shared" si="5"/>
        <v>no</v>
      </c>
      <c r="Q79" s="42" t="str">
        <f t="shared" si="5"/>
        <v>no</v>
      </c>
      <c r="R79" s="42" t="str">
        <f t="shared" si="5"/>
        <v>no</v>
      </c>
      <c r="S79" s="43" t="str">
        <f t="shared" si="5"/>
        <v>no</v>
      </c>
    </row>
    <row r="80" spans="2:41" hidden="1">
      <c r="E80" s="41" t="str">
        <f t="shared" ref="E80:S80" si="6">IF(AND(ISNUMBER(E48),E48&gt;=$C48),"yes","no")</f>
        <v>no</v>
      </c>
      <c r="F80" s="42" t="str">
        <f t="shared" si="6"/>
        <v>no</v>
      </c>
      <c r="G80" s="42" t="str">
        <f t="shared" si="6"/>
        <v>no</v>
      </c>
      <c r="H80" s="42" t="str">
        <f t="shared" si="6"/>
        <v>no</v>
      </c>
      <c r="I80" s="42" t="str">
        <f t="shared" si="6"/>
        <v>no</v>
      </c>
      <c r="J80" s="42" t="str">
        <f t="shared" si="6"/>
        <v>no</v>
      </c>
      <c r="K80" s="42" t="str">
        <f t="shared" si="6"/>
        <v>no</v>
      </c>
      <c r="L80" s="42" t="str">
        <f t="shared" si="6"/>
        <v>no</v>
      </c>
      <c r="M80" s="42" t="str">
        <f t="shared" si="6"/>
        <v>no</v>
      </c>
      <c r="N80" s="42" t="str">
        <f t="shared" si="6"/>
        <v>no</v>
      </c>
      <c r="O80" s="42" t="str">
        <f t="shared" si="6"/>
        <v>no</v>
      </c>
      <c r="P80" s="42" t="str">
        <f t="shared" si="6"/>
        <v>no</v>
      </c>
      <c r="Q80" s="42" t="str">
        <f t="shared" si="6"/>
        <v>no</v>
      </c>
      <c r="R80" s="42" t="str">
        <f t="shared" si="6"/>
        <v>no</v>
      </c>
      <c r="S80" s="43" t="str">
        <f t="shared" si="6"/>
        <v>no</v>
      </c>
    </row>
    <row r="81" spans="5:19" hidden="1">
      <c r="E81" s="41" t="str">
        <f t="shared" ref="E81:S81" si="7">IF(AND(ISNUMBER(E49),E49&gt;=$C49),"yes","no")</f>
        <v>no</v>
      </c>
      <c r="F81" s="42" t="str">
        <f t="shared" si="7"/>
        <v>no</v>
      </c>
      <c r="G81" s="42" t="str">
        <f t="shared" si="7"/>
        <v>no</v>
      </c>
      <c r="H81" s="42" t="str">
        <f t="shared" si="7"/>
        <v>no</v>
      </c>
      <c r="I81" s="42" t="str">
        <f t="shared" si="7"/>
        <v>no</v>
      </c>
      <c r="J81" s="42" t="str">
        <f t="shared" si="7"/>
        <v>no</v>
      </c>
      <c r="K81" s="42" t="str">
        <f t="shared" si="7"/>
        <v>no</v>
      </c>
      <c r="L81" s="42" t="str">
        <f t="shared" si="7"/>
        <v>no</v>
      </c>
      <c r="M81" s="42" t="str">
        <f t="shared" si="7"/>
        <v>no</v>
      </c>
      <c r="N81" s="42" t="str">
        <f t="shared" si="7"/>
        <v>no</v>
      </c>
      <c r="O81" s="42" t="str">
        <f t="shared" si="7"/>
        <v>no</v>
      </c>
      <c r="P81" s="42" t="str">
        <f t="shared" si="7"/>
        <v>no</v>
      </c>
      <c r="Q81" s="42" t="str">
        <f t="shared" si="7"/>
        <v>no</v>
      </c>
      <c r="R81" s="42" t="str">
        <f t="shared" si="7"/>
        <v>no</v>
      </c>
      <c r="S81" s="43" t="str">
        <f t="shared" si="7"/>
        <v>no</v>
      </c>
    </row>
    <row r="82" spans="5:19" hidden="1">
      <c r="E82" s="41" t="str">
        <f t="shared" ref="E82:S82" si="8">IF(AND(ISNUMBER(E50),E50&gt;=$C50),"yes","no")</f>
        <v>no</v>
      </c>
      <c r="F82" s="42" t="str">
        <f t="shared" si="8"/>
        <v>no</v>
      </c>
      <c r="G82" s="42" t="str">
        <f t="shared" si="8"/>
        <v>no</v>
      </c>
      <c r="H82" s="42" t="str">
        <f t="shared" si="8"/>
        <v>no</v>
      </c>
      <c r="I82" s="42" t="str">
        <f t="shared" si="8"/>
        <v>no</v>
      </c>
      <c r="J82" s="42" t="str">
        <f t="shared" si="8"/>
        <v>no</v>
      </c>
      <c r="K82" s="42" t="str">
        <f t="shared" si="8"/>
        <v>no</v>
      </c>
      <c r="L82" s="42" t="str">
        <f t="shared" si="8"/>
        <v>no</v>
      </c>
      <c r="M82" s="42" t="str">
        <f t="shared" si="8"/>
        <v>no</v>
      </c>
      <c r="N82" s="42" t="str">
        <f t="shared" si="8"/>
        <v>no</v>
      </c>
      <c r="O82" s="42" t="str">
        <f t="shared" si="8"/>
        <v>no</v>
      </c>
      <c r="P82" s="42" t="str">
        <f t="shared" si="8"/>
        <v>no</v>
      </c>
      <c r="Q82" s="42" t="str">
        <f t="shared" si="8"/>
        <v>no</v>
      </c>
      <c r="R82" s="42" t="str">
        <f t="shared" si="8"/>
        <v>no</v>
      </c>
      <c r="S82" s="43" t="str">
        <f t="shared" si="8"/>
        <v>no</v>
      </c>
    </row>
    <row r="83" spans="5:19" hidden="1">
      <c r="E83" s="41" t="str">
        <f t="shared" ref="E83:S83" si="9">IF(AND(ISNUMBER(E51),E51&gt;=$C51),"yes","no")</f>
        <v>no</v>
      </c>
      <c r="F83" s="42" t="str">
        <f t="shared" si="9"/>
        <v>no</v>
      </c>
      <c r="G83" s="42" t="str">
        <f t="shared" si="9"/>
        <v>no</v>
      </c>
      <c r="H83" s="42" t="str">
        <f t="shared" si="9"/>
        <v>no</v>
      </c>
      <c r="I83" s="42" t="str">
        <f t="shared" si="9"/>
        <v>no</v>
      </c>
      <c r="J83" s="42" t="str">
        <f t="shared" si="9"/>
        <v>no</v>
      </c>
      <c r="K83" s="42" t="str">
        <f t="shared" si="9"/>
        <v>no</v>
      </c>
      <c r="L83" s="42" t="str">
        <f t="shared" si="9"/>
        <v>no</v>
      </c>
      <c r="M83" s="42" t="str">
        <f t="shared" si="9"/>
        <v>no</v>
      </c>
      <c r="N83" s="42" t="str">
        <f t="shared" si="9"/>
        <v>no</v>
      </c>
      <c r="O83" s="42" t="str">
        <f t="shared" si="9"/>
        <v>no</v>
      </c>
      <c r="P83" s="42" t="str">
        <f t="shared" si="9"/>
        <v>no</v>
      </c>
      <c r="Q83" s="42" t="str">
        <f t="shared" si="9"/>
        <v>no</v>
      </c>
      <c r="R83" s="42" t="str">
        <f t="shared" si="9"/>
        <v>no</v>
      </c>
      <c r="S83" s="43" t="str">
        <f t="shared" si="9"/>
        <v>no</v>
      </c>
    </row>
    <row r="84" spans="5:19" hidden="1">
      <c r="E84" s="41" t="str">
        <f t="shared" ref="E84:S84" si="10">IF(AND(ISNUMBER(E52),E52&gt;=$C52),"yes","no")</f>
        <v>no</v>
      </c>
      <c r="F84" s="42" t="str">
        <f t="shared" si="10"/>
        <v>no</v>
      </c>
      <c r="G84" s="42" t="str">
        <f t="shared" si="10"/>
        <v>no</v>
      </c>
      <c r="H84" s="42" t="str">
        <f t="shared" si="10"/>
        <v>no</v>
      </c>
      <c r="I84" s="42" t="str">
        <f t="shared" si="10"/>
        <v>no</v>
      </c>
      <c r="J84" s="42" t="str">
        <f t="shared" si="10"/>
        <v>no</v>
      </c>
      <c r="K84" s="42" t="str">
        <f t="shared" si="10"/>
        <v>no</v>
      </c>
      <c r="L84" s="42" t="str">
        <f t="shared" si="10"/>
        <v>no</v>
      </c>
      <c r="M84" s="42" t="str">
        <f t="shared" si="10"/>
        <v>no</v>
      </c>
      <c r="N84" s="42" t="str">
        <f t="shared" si="10"/>
        <v>no</v>
      </c>
      <c r="O84" s="42" t="str">
        <f t="shared" si="10"/>
        <v>no</v>
      </c>
      <c r="P84" s="42" t="str">
        <f t="shared" si="10"/>
        <v>no</v>
      </c>
      <c r="Q84" s="42" t="str">
        <f t="shared" si="10"/>
        <v>no</v>
      </c>
      <c r="R84" s="42" t="str">
        <f t="shared" si="10"/>
        <v>no</v>
      </c>
      <c r="S84" s="43" t="str">
        <f t="shared" si="10"/>
        <v>no</v>
      </c>
    </row>
    <row r="85" spans="5:19" hidden="1">
      <c r="E85" s="41" t="str">
        <f t="shared" ref="E85:S85" si="11">IF(AND(ISNUMBER(E53),E53&gt;=$C53),"yes","no")</f>
        <v>no</v>
      </c>
      <c r="F85" s="42" t="str">
        <f t="shared" si="11"/>
        <v>no</v>
      </c>
      <c r="G85" s="42" t="str">
        <f t="shared" si="11"/>
        <v>no</v>
      </c>
      <c r="H85" s="42" t="str">
        <f t="shared" si="11"/>
        <v>no</v>
      </c>
      <c r="I85" s="42" t="str">
        <f t="shared" si="11"/>
        <v>no</v>
      </c>
      <c r="J85" s="42" t="str">
        <f t="shared" si="11"/>
        <v>no</v>
      </c>
      <c r="K85" s="42" t="str">
        <f t="shared" si="11"/>
        <v>no</v>
      </c>
      <c r="L85" s="42" t="str">
        <f t="shared" si="11"/>
        <v>no</v>
      </c>
      <c r="M85" s="42" t="str">
        <f t="shared" si="11"/>
        <v>no</v>
      </c>
      <c r="N85" s="42" t="str">
        <f t="shared" si="11"/>
        <v>no</v>
      </c>
      <c r="O85" s="42" t="str">
        <f t="shared" si="11"/>
        <v>no</v>
      </c>
      <c r="P85" s="42" t="str">
        <f t="shared" si="11"/>
        <v>no</v>
      </c>
      <c r="Q85" s="42" t="str">
        <f t="shared" si="11"/>
        <v>no</v>
      </c>
      <c r="R85" s="42" t="str">
        <f t="shared" si="11"/>
        <v>no</v>
      </c>
      <c r="S85" s="43" t="str">
        <f t="shared" si="11"/>
        <v>no</v>
      </c>
    </row>
    <row r="86" spans="5:19" hidden="1">
      <c r="E86" s="41" t="str">
        <f t="shared" ref="E86:S86" si="12">IF(AND(ISNUMBER(E54),E54&gt;=$C54),"yes","no")</f>
        <v>no</v>
      </c>
      <c r="F86" s="42" t="str">
        <f t="shared" si="12"/>
        <v>no</v>
      </c>
      <c r="G86" s="42" t="str">
        <f t="shared" si="12"/>
        <v>no</v>
      </c>
      <c r="H86" s="42" t="str">
        <f t="shared" si="12"/>
        <v>no</v>
      </c>
      <c r="I86" s="42" t="str">
        <f t="shared" si="12"/>
        <v>no</v>
      </c>
      <c r="J86" s="42" t="str">
        <f t="shared" si="12"/>
        <v>no</v>
      </c>
      <c r="K86" s="42" t="str">
        <f t="shared" si="12"/>
        <v>no</v>
      </c>
      <c r="L86" s="42" t="str">
        <f t="shared" si="12"/>
        <v>no</v>
      </c>
      <c r="M86" s="42" t="str">
        <f t="shared" si="12"/>
        <v>no</v>
      </c>
      <c r="N86" s="42" t="str">
        <f t="shared" si="12"/>
        <v>no</v>
      </c>
      <c r="O86" s="42" t="str">
        <f t="shared" si="12"/>
        <v>no</v>
      </c>
      <c r="P86" s="42" t="str">
        <f t="shared" si="12"/>
        <v>no</v>
      </c>
      <c r="Q86" s="42" t="str">
        <f t="shared" si="12"/>
        <v>no</v>
      </c>
      <c r="R86" s="42" t="str">
        <f t="shared" si="12"/>
        <v>no</v>
      </c>
      <c r="S86" s="43" t="str">
        <f t="shared" si="12"/>
        <v>no</v>
      </c>
    </row>
    <row r="87" spans="5:19" hidden="1">
      <c r="E87" s="41" t="str">
        <f t="shared" ref="E87:S87" si="13">IF(AND(ISNUMBER(E55),E55&gt;=$C55),"yes","no")</f>
        <v>no</v>
      </c>
      <c r="F87" s="42" t="str">
        <f t="shared" si="13"/>
        <v>no</v>
      </c>
      <c r="G87" s="42" t="str">
        <f t="shared" si="13"/>
        <v>no</v>
      </c>
      <c r="H87" s="42" t="str">
        <f t="shared" si="13"/>
        <v>no</v>
      </c>
      <c r="I87" s="42" t="str">
        <f t="shared" si="13"/>
        <v>no</v>
      </c>
      <c r="J87" s="42" t="str">
        <f t="shared" si="13"/>
        <v>no</v>
      </c>
      <c r="K87" s="42" t="str">
        <f t="shared" si="13"/>
        <v>no</v>
      </c>
      <c r="L87" s="42" t="str">
        <f t="shared" si="13"/>
        <v>no</v>
      </c>
      <c r="M87" s="42" t="str">
        <f t="shared" si="13"/>
        <v>no</v>
      </c>
      <c r="N87" s="42" t="str">
        <f t="shared" si="13"/>
        <v>no</v>
      </c>
      <c r="O87" s="42" t="str">
        <f t="shared" si="13"/>
        <v>no</v>
      </c>
      <c r="P87" s="42" t="str">
        <f t="shared" si="13"/>
        <v>no</v>
      </c>
      <c r="Q87" s="42" t="str">
        <f t="shared" si="13"/>
        <v>no</v>
      </c>
      <c r="R87" s="42" t="str">
        <f t="shared" si="13"/>
        <v>no</v>
      </c>
      <c r="S87" s="43" t="str">
        <f t="shared" si="13"/>
        <v>no</v>
      </c>
    </row>
    <row r="88" spans="5:19" hidden="1">
      <c r="E88" s="41" t="str">
        <f t="shared" ref="E88:S88" si="14">IF(AND(ISNUMBER(E56),E56&gt;=$C56),"yes","no")</f>
        <v>no</v>
      </c>
      <c r="F88" s="42" t="str">
        <f t="shared" si="14"/>
        <v>no</v>
      </c>
      <c r="G88" s="42" t="str">
        <f t="shared" si="14"/>
        <v>no</v>
      </c>
      <c r="H88" s="42" t="str">
        <f t="shared" si="14"/>
        <v>no</v>
      </c>
      <c r="I88" s="42" t="str">
        <f t="shared" si="14"/>
        <v>no</v>
      </c>
      <c r="J88" s="42" t="str">
        <f t="shared" si="14"/>
        <v>no</v>
      </c>
      <c r="K88" s="42" t="str">
        <f t="shared" si="14"/>
        <v>no</v>
      </c>
      <c r="L88" s="42" t="str">
        <f t="shared" si="14"/>
        <v>no</v>
      </c>
      <c r="M88" s="42" t="str">
        <f t="shared" si="14"/>
        <v>no</v>
      </c>
      <c r="N88" s="42" t="str">
        <f t="shared" si="14"/>
        <v>no</v>
      </c>
      <c r="O88" s="42" t="str">
        <f t="shared" si="14"/>
        <v>no</v>
      </c>
      <c r="P88" s="42" t="str">
        <f t="shared" si="14"/>
        <v>no</v>
      </c>
      <c r="Q88" s="42" t="str">
        <f t="shared" si="14"/>
        <v>no</v>
      </c>
      <c r="R88" s="42" t="str">
        <f t="shared" si="14"/>
        <v>no</v>
      </c>
      <c r="S88" s="43" t="str">
        <f t="shared" si="14"/>
        <v>no</v>
      </c>
    </row>
    <row r="89" spans="5:19" hidden="1">
      <c r="E89" s="41" t="str">
        <f t="shared" ref="E89:S89" si="15">IF(AND(ISNUMBER(E57),E57&gt;=$C57),"yes","no")</f>
        <v>no</v>
      </c>
      <c r="F89" s="42" t="str">
        <f t="shared" si="15"/>
        <v>no</v>
      </c>
      <c r="G89" s="42" t="str">
        <f t="shared" si="15"/>
        <v>no</v>
      </c>
      <c r="H89" s="42" t="str">
        <f t="shared" si="15"/>
        <v>no</v>
      </c>
      <c r="I89" s="42" t="str">
        <f t="shared" si="15"/>
        <v>no</v>
      </c>
      <c r="J89" s="42" t="str">
        <f t="shared" si="15"/>
        <v>no</v>
      </c>
      <c r="K89" s="42" t="str">
        <f t="shared" si="15"/>
        <v>no</v>
      </c>
      <c r="L89" s="42" t="str">
        <f t="shared" si="15"/>
        <v>no</v>
      </c>
      <c r="M89" s="42" t="str">
        <f t="shared" si="15"/>
        <v>no</v>
      </c>
      <c r="N89" s="42" t="str">
        <f t="shared" si="15"/>
        <v>no</v>
      </c>
      <c r="O89" s="42" t="str">
        <f t="shared" si="15"/>
        <v>no</v>
      </c>
      <c r="P89" s="42" t="str">
        <f t="shared" si="15"/>
        <v>no</v>
      </c>
      <c r="Q89" s="42" t="str">
        <f t="shared" si="15"/>
        <v>no</v>
      </c>
      <c r="R89" s="42" t="str">
        <f t="shared" si="15"/>
        <v>no</v>
      </c>
      <c r="S89" s="43" t="str">
        <f t="shared" si="15"/>
        <v>no</v>
      </c>
    </row>
    <row r="90" spans="5:19" hidden="1">
      <c r="E90" s="41" t="str">
        <f t="shared" ref="E90:S90" si="16">IF(AND(ISNUMBER(E58),E58&gt;=$C58),"yes","no")</f>
        <v>no</v>
      </c>
      <c r="F90" s="42" t="str">
        <f t="shared" si="16"/>
        <v>no</v>
      </c>
      <c r="G90" s="42" t="str">
        <f t="shared" si="16"/>
        <v>no</v>
      </c>
      <c r="H90" s="42" t="str">
        <f t="shared" si="16"/>
        <v>no</v>
      </c>
      <c r="I90" s="42" t="str">
        <f t="shared" si="16"/>
        <v>no</v>
      </c>
      <c r="J90" s="42" t="str">
        <f t="shared" si="16"/>
        <v>no</v>
      </c>
      <c r="K90" s="42" t="str">
        <f t="shared" si="16"/>
        <v>no</v>
      </c>
      <c r="L90" s="42" t="str">
        <f t="shared" si="16"/>
        <v>no</v>
      </c>
      <c r="M90" s="42" t="str">
        <f t="shared" si="16"/>
        <v>no</v>
      </c>
      <c r="N90" s="42" t="str">
        <f t="shared" si="16"/>
        <v>no</v>
      </c>
      <c r="O90" s="42" t="str">
        <f t="shared" si="16"/>
        <v>no</v>
      </c>
      <c r="P90" s="42" t="str">
        <f t="shared" si="16"/>
        <v>no</v>
      </c>
      <c r="Q90" s="42" t="str">
        <f t="shared" si="16"/>
        <v>no</v>
      </c>
      <c r="R90" s="42" t="str">
        <f t="shared" si="16"/>
        <v>no</v>
      </c>
      <c r="S90" s="43" t="str">
        <f t="shared" si="16"/>
        <v>no</v>
      </c>
    </row>
    <row r="91" spans="5:19" hidden="1">
      <c r="E91" s="41" t="str">
        <f t="shared" ref="E91:S91" si="17">IF(AND(ISNUMBER(E59),E59&gt;=$C59),"yes","no")</f>
        <v>no</v>
      </c>
      <c r="F91" s="42" t="str">
        <f t="shared" si="17"/>
        <v>no</v>
      </c>
      <c r="G91" s="42" t="str">
        <f t="shared" si="17"/>
        <v>no</v>
      </c>
      <c r="H91" s="42" t="str">
        <f t="shared" si="17"/>
        <v>no</v>
      </c>
      <c r="I91" s="42" t="str">
        <f t="shared" si="17"/>
        <v>no</v>
      </c>
      <c r="J91" s="42" t="str">
        <f t="shared" si="17"/>
        <v>no</v>
      </c>
      <c r="K91" s="42" t="str">
        <f t="shared" si="17"/>
        <v>no</v>
      </c>
      <c r="L91" s="42" t="str">
        <f t="shared" si="17"/>
        <v>no</v>
      </c>
      <c r="M91" s="42" t="str">
        <f t="shared" si="17"/>
        <v>no</v>
      </c>
      <c r="N91" s="42" t="str">
        <f t="shared" si="17"/>
        <v>no</v>
      </c>
      <c r="O91" s="42" t="str">
        <f t="shared" si="17"/>
        <v>no</v>
      </c>
      <c r="P91" s="42" t="str">
        <f t="shared" si="17"/>
        <v>no</v>
      </c>
      <c r="Q91" s="42" t="str">
        <f t="shared" si="17"/>
        <v>no</v>
      </c>
      <c r="R91" s="42" t="str">
        <f t="shared" si="17"/>
        <v>no</v>
      </c>
      <c r="S91" s="43" t="str">
        <f t="shared" si="17"/>
        <v>no</v>
      </c>
    </row>
    <row r="92" spans="5:19" hidden="1">
      <c r="E92" s="41" t="str">
        <f t="shared" ref="E92:S92" si="18">IF(AND(ISNUMBER(E60),E60&gt;=$C60),"yes","no")</f>
        <v>no</v>
      </c>
      <c r="F92" s="42" t="str">
        <f t="shared" si="18"/>
        <v>no</v>
      </c>
      <c r="G92" s="42" t="str">
        <f t="shared" si="18"/>
        <v>no</v>
      </c>
      <c r="H92" s="42" t="str">
        <f t="shared" si="18"/>
        <v>no</v>
      </c>
      <c r="I92" s="42" t="str">
        <f t="shared" si="18"/>
        <v>no</v>
      </c>
      <c r="J92" s="42" t="str">
        <f t="shared" si="18"/>
        <v>no</v>
      </c>
      <c r="K92" s="42" t="str">
        <f t="shared" si="18"/>
        <v>no</v>
      </c>
      <c r="L92" s="42" t="str">
        <f t="shared" si="18"/>
        <v>no</v>
      </c>
      <c r="M92" s="42" t="str">
        <f t="shared" si="18"/>
        <v>no</v>
      </c>
      <c r="N92" s="42" t="str">
        <f t="shared" si="18"/>
        <v>no</v>
      </c>
      <c r="O92" s="42" t="str">
        <f t="shared" si="18"/>
        <v>no</v>
      </c>
      <c r="P92" s="42" t="str">
        <f t="shared" si="18"/>
        <v>no</v>
      </c>
      <c r="Q92" s="42" t="str">
        <f t="shared" si="18"/>
        <v>no</v>
      </c>
      <c r="R92" s="42" t="str">
        <f t="shared" si="18"/>
        <v>no</v>
      </c>
      <c r="S92" s="43" t="str">
        <f t="shared" si="18"/>
        <v>no</v>
      </c>
    </row>
    <row r="93" spans="5:19" hidden="1">
      <c r="E93" s="41" t="str">
        <f t="shared" ref="E93:S93" si="19">IF(AND(ISNUMBER(E61),E61&gt;=$C61),"yes","no")</f>
        <v>no</v>
      </c>
      <c r="F93" s="42" t="str">
        <f t="shared" si="19"/>
        <v>no</v>
      </c>
      <c r="G93" s="42" t="str">
        <f t="shared" si="19"/>
        <v>no</v>
      </c>
      <c r="H93" s="42" t="str">
        <f t="shared" si="19"/>
        <v>no</v>
      </c>
      <c r="I93" s="42" t="str">
        <f t="shared" si="19"/>
        <v>no</v>
      </c>
      <c r="J93" s="42" t="str">
        <f t="shared" si="19"/>
        <v>no</v>
      </c>
      <c r="K93" s="42" t="str">
        <f t="shared" si="19"/>
        <v>no</v>
      </c>
      <c r="L93" s="42" t="str">
        <f t="shared" si="19"/>
        <v>no</v>
      </c>
      <c r="M93" s="42" t="str">
        <f t="shared" si="19"/>
        <v>no</v>
      </c>
      <c r="N93" s="42" t="str">
        <f t="shared" si="19"/>
        <v>no</v>
      </c>
      <c r="O93" s="42" t="str">
        <f t="shared" si="19"/>
        <v>no</v>
      </c>
      <c r="P93" s="42" t="str">
        <f t="shared" si="19"/>
        <v>no</v>
      </c>
      <c r="Q93" s="42" t="str">
        <f t="shared" si="19"/>
        <v>no</v>
      </c>
      <c r="R93" s="42" t="str">
        <f t="shared" si="19"/>
        <v>no</v>
      </c>
      <c r="S93" s="43" t="str">
        <f t="shared" si="19"/>
        <v>no</v>
      </c>
    </row>
    <row r="94" spans="5:19" hidden="1">
      <c r="E94" s="41" t="str">
        <f t="shared" ref="E94:S94" si="20">IF(AND(ISNUMBER(E62),E62&gt;=$C62),"yes","no")</f>
        <v>no</v>
      </c>
      <c r="F94" s="42" t="str">
        <f t="shared" si="20"/>
        <v>no</v>
      </c>
      <c r="G94" s="42" t="str">
        <f t="shared" si="20"/>
        <v>no</v>
      </c>
      <c r="H94" s="42" t="str">
        <f t="shared" si="20"/>
        <v>no</v>
      </c>
      <c r="I94" s="42" t="str">
        <f t="shared" si="20"/>
        <v>no</v>
      </c>
      <c r="J94" s="42" t="str">
        <f t="shared" si="20"/>
        <v>no</v>
      </c>
      <c r="K94" s="42" t="str">
        <f t="shared" si="20"/>
        <v>no</v>
      </c>
      <c r="L94" s="42" t="str">
        <f t="shared" si="20"/>
        <v>no</v>
      </c>
      <c r="M94" s="42" t="str">
        <f t="shared" si="20"/>
        <v>no</v>
      </c>
      <c r="N94" s="42" t="str">
        <f t="shared" si="20"/>
        <v>no</v>
      </c>
      <c r="O94" s="42" t="str">
        <f t="shared" si="20"/>
        <v>no</v>
      </c>
      <c r="P94" s="42" t="str">
        <f t="shared" si="20"/>
        <v>no</v>
      </c>
      <c r="Q94" s="42" t="str">
        <f t="shared" si="20"/>
        <v>no</v>
      </c>
      <c r="R94" s="42" t="str">
        <f t="shared" si="20"/>
        <v>no</v>
      </c>
      <c r="S94" s="43" t="str">
        <f t="shared" si="20"/>
        <v>no</v>
      </c>
    </row>
    <row r="95" spans="5:19" hidden="1">
      <c r="E95" s="44"/>
      <c r="F95" s="45"/>
      <c r="G95" s="45"/>
      <c r="H95" s="45"/>
      <c r="I95" s="45"/>
      <c r="J95" s="45"/>
      <c r="K95" s="45"/>
      <c r="L95" s="45"/>
      <c r="M95" s="45"/>
      <c r="N95" s="45"/>
      <c r="O95" s="45"/>
      <c r="P95" s="45"/>
      <c r="Q95" s="45"/>
      <c r="R95" s="45"/>
      <c r="S95" s="46"/>
    </row>
    <row r="96" spans="5:19" hidden="1"/>
    <row r="97" hidden="1"/>
    <row r="98" hidden="1"/>
    <row r="99" hidden="1"/>
    <row r="117" spans="5:167" s="15" customFormat="1" hidden="1">
      <c r="E117" s="15" t="b">
        <v>0</v>
      </c>
      <c r="F117" s="15" t="b">
        <v>0</v>
      </c>
      <c r="G117" s="15" t="b">
        <v>0</v>
      </c>
      <c r="I117" s="15" t="b">
        <v>0</v>
      </c>
      <c r="K117" s="15" t="b">
        <v>0</v>
      </c>
      <c r="O117" s="15" t="b">
        <v>0</v>
      </c>
      <c r="R117" s="15" t="b">
        <v>0</v>
      </c>
      <c r="S117" s="15" t="b">
        <v>0</v>
      </c>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row>
  </sheetData>
  <sheetProtection sheet="1" objects="1" scenarios="1" formatCells="0" selectLockedCells="1"/>
  <sortState ref="B25:C43">
    <sortCondition ref="B25:B43"/>
  </sortState>
  <mergeCells count="51">
    <mergeCell ref="O7:P7"/>
    <mergeCell ref="K9:L9"/>
    <mergeCell ref="D7:I7"/>
    <mergeCell ref="D6:I6"/>
    <mergeCell ref="K8:L8"/>
    <mergeCell ref="D8:I8"/>
    <mergeCell ref="D9:I9"/>
    <mergeCell ref="K7:L7"/>
    <mergeCell ref="M7:N7"/>
    <mergeCell ref="M8:N8"/>
    <mergeCell ref="B3:E3"/>
    <mergeCell ref="B4:E4"/>
    <mergeCell ref="N4:S4"/>
    <mergeCell ref="N5:S5"/>
    <mergeCell ref="M2:M5"/>
    <mergeCell ref="W67:AN67"/>
    <mergeCell ref="B66:S66"/>
    <mergeCell ref="X16:Z16"/>
    <mergeCell ref="U11:Z11"/>
    <mergeCell ref="C38:G38"/>
    <mergeCell ref="C39:G39"/>
    <mergeCell ref="O39:P39"/>
    <mergeCell ref="L14:Q14"/>
    <mergeCell ref="L15:Q15"/>
    <mergeCell ref="B12:D12"/>
    <mergeCell ref="H11:I11"/>
    <mergeCell ref="G15:H15"/>
    <mergeCell ref="K13:K15"/>
    <mergeCell ref="M38:P38"/>
    <mergeCell ref="E18:S18"/>
    <mergeCell ref="B27:D27"/>
    <mergeCell ref="O10:Q10"/>
    <mergeCell ref="L13:Q13"/>
    <mergeCell ref="D14:F14"/>
    <mergeCell ref="D15:F15"/>
    <mergeCell ref="H14:I14"/>
    <mergeCell ref="D10:I10"/>
    <mergeCell ref="K12:L12"/>
    <mergeCell ref="B11:D11"/>
    <mergeCell ref="B17:S17"/>
    <mergeCell ref="B26:S26"/>
    <mergeCell ref="K38:L39"/>
    <mergeCell ref="B69:I69"/>
    <mergeCell ref="B68:I68"/>
    <mergeCell ref="B67:S67"/>
    <mergeCell ref="Q68:S68"/>
    <mergeCell ref="K68:O68"/>
    <mergeCell ref="K69:O69"/>
    <mergeCell ref="Q69:S69"/>
    <mergeCell ref="I38:J38"/>
    <mergeCell ref="B37:S37"/>
  </mergeCells>
  <conditionalFormatting sqref="E42">
    <cfRule type="expression" dxfId="318" priority="327">
      <formula>E74="yes"</formula>
    </cfRule>
  </conditionalFormatting>
  <conditionalFormatting sqref="E64:S64">
    <cfRule type="expression" dxfId="317" priority="326">
      <formula>$E95="yes"</formula>
    </cfRule>
  </conditionalFormatting>
  <conditionalFormatting sqref="E36:S36">
    <cfRule type="cellIs" dxfId="316" priority="319" operator="greaterThanOrEqual">
      <formula>8.5</formula>
    </cfRule>
    <cfRule type="cellIs" dxfId="315" priority="320" operator="lessThanOrEqual">
      <formula>6.5</formula>
    </cfRule>
  </conditionalFormatting>
  <conditionalFormatting sqref="E63:S63">
    <cfRule type="expression" dxfId="314" priority="328">
      <formula>$E95="yes"</formula>
    </cfRule>
  </conditionalFormatting>
  <conditionalFormatting sqref="E43">
    <cfRule type="expression" dxfId="313" priority="314">
      <formula>E75="yes"</formula>
    </cfRule>
  </conditionalFormatting>
  <conditionalFormatting sqref="E44">
    <cfRule type="expression" dxfId="312" priority="313">
      <formula>E76="yes"</formula>
    </cfRule>
  </conditionalFormatting>
  <conditionalFormatting sqref="E45">
    <cfRule type="expression" dxfId="311" priority="312">
      <formula>E77="yes"</formula>
    </cfRule>
  </conditionalFormatting>
  <conditionalFormatting sqref="E46">
    <cfRule type="expression" dxfId="310" priority="311">
      <formula>E78="yes"</formula>
    </cfRule>
  </conditionalFormatting>
  <conditionalFormatting sqref="E47">
    <cfRule type="expression" dxfId="309" priority="310">
      <formula>E79="yes"</formula>
    </cfRule>
  </conditionalFormatting>
  <conditionalFormatting sqref="E48">
    <cfRule type="expression" dxfId="308" priority="309">
      <formula>E80="yes"</formula>
    </cfRule>
  </conditionalFormatting>
  <conditionalFormatting sqref="E49">
    <cfRule type="expression" dxfId="307" priority="308">
      <formula>E81="yes"</formula>
    </cfRule>
  </conditionalFormatting>
  <conditionalFormatting sqref="E50">
    <cfRule type="expression" dxfId="306" priority="307">
      <formula>E82="yes"</formula>
    </cfRule>
  </conditionalFormatting>
  <conditionalFormatting sqref="E51">
    <cfRule type="expression" dxfId="305" priority="306">
      <formula>E83="yes"</formula>
    </cfRule>
  </conditionalFormatting>
  <conditionalFormatting sqref="E52">
    <cfRule type="expression" dxfId="304" priority="305">
      <formula>E84="yes"</formula>
    </cfRule>
  </conditionalFormatting>
  <conditionalFormatting sqref="E53">
    <cfRule type="expression" dxfId="303" priority="304">
      <formula>E85="yes"</formula>
    </cfRule>
  </conditionalFormatting>
  <conditionalFormatting sqref="E54">
    <cfRule type="expression" dxfId="302" priority="303">
      <formula>E86="yes"</formula>
    </cfRule>
  </conditionalFormatting>
  <conditionalFormatting sqref="E55">
    <cfRule type="expression" dxfId="301" priority="302">
      <formula>E87="yes"</formula>
    </cfRule>
  </conditionalFormatting>
  <conditionalFormatting sqref="E56">
    <cfRule type="expression" dxfId="300" priority="301">
      <formula>E88="yes"</formula>
    </cfRule>
  </conditionalFormatting>
  <conditionalFormatting sqref="E57">
    <cfRule type="expression" dxfId="299" priority="300">
      <formula>E89="yes"</formula>
    </cfRule>
  </conditionalFormatting>
  <conditionalFormatting sqref="E58">
    <cfRule type="expression" dxfId="298" priority="299">
      <formula>E90="yes"</formula>
    </cfRule>
  </conditionalFormatting>
  <conditionalFormatting sqref="E59">
    <cfRule type="expression" dxfId="297" priority="298">
      <formula>E91="yes"</formula>
    </cfRule>
  </conditionalFormatting>
  <conditionalFormatting sqref="E60">
    <cfRule type="expression" dxfId="296" priority="297">
      <formula>E92="yes"</formula>
    </cfRule>
  </conditionalFormatting>
  <conditionalFormatting sqref="E61">
    <cfRule type="expression" dxfId="295" priority="296">
      <formula>E93="yes"</formula>
    </cfRule>
  </conditionalFormatting>
  <conditionalFormatting sqref="E62">
    <cfRule type="expression" dxfId="294" priority="295">
      <formula>E94="yes"</formula>
    </cfRule>
  </conditionalFormatting>
  <conditionalFormatting sqref="F42">
    <cfRule type="expression" dxfId="293" priority="294">
      <formula>F74="yes"</formula>
    </cfRule>
  </conditionalFormatting>
  <conditionalFormatting sqref="F43">
    <cfRule type="expression" dxfId="292" priority="293">
      <formula>F75="yes"</formula>
    </cfRule>
  </conditionalFormatting>
  <conditionalFormatting sqref="F44">
    <cfRule type="expression" dxfId="291" priority="292">
      <formula>F76="yes"</formula>
    </cfRule>
  </conditionalFormatting>
  <conditionalFormatting sqref="F45">
    <cfRule type="expression" dxfId="290" priority="291">
      <formula>F77="yes"</formula>
    </cfRule>
  </conditionalFormatting>
  <conditionalFormatting sqref="F46">
    <cfRule type="expression" dxfId="289" priority="290">
      <formula>F78="yes"</formula>
    </cfRule>
  </conditionalFormatting>
  <conditionalFormatting sqref="F47">
    <cfRule type="expression" dxfId="288" priority="289">
      <formula>F79="yes"</formula>
    </cfRule>
  </conditionalFormatting>
  <conditionalFormatting sqref="F48">
    <cfRule type="expression" dxfId="287" priority="288">
      <formula>F80="yes"</formula>
    </cfRule>
  </conditionalFormatting>
  <conditionalFormatting sqref="F49">
    <cfRule type="expression" dxfId="286" priority="287">
      <formula>F81="yes"</formula>
    </cfRule>
  </conditionalFormatting>
  <conditionalFormatting sqref="F50">
    <cfRule type="expression" dxfId="285" priority="286">
      <formula>F82="yes"</formula>
    </cfRule>
  </conditionalFormatting>
  <conditionalFormatting sqref="F51">
    <cfRule type="expression" dxfId="284" priority="285">
      <formula>F83="yes"</formula>
    </cfRule>
  </conditionalFormatting>
  <conditionalFormatting sqref="F52">
    <cfRule type="expression" dxfId="283" priority="284">
      <formula>F84="yes"</formula>
    </cfRule>
  </conditionalFormatting>
  <conditionalFormatting sqref="F53">
    <cfRule type="expression" dxfId="282" priority="283">
      <formula>F85="yes"</formula>
    </cfRule>
  </conditionalFormatting>
  <conditionalFormatting sqref="F54">
    <cfRule type="expression" dxfId="281" priority="282">
      <formula>F86="yes"</formula>
    </cfRule>
  </conditionalFormatting>
  <conditionalFormatting sqref="F55">
    <cfRule type="expression" dxfId="280" priority="281">
      <formula>F87="yes"</formula>
    </cfRule>
  </conditionalFormatting>
  <conditionalFormatting sqref="F56">
    <cfRule type="expression" dxfId="279" priority="280">
      <formula>F88="yes"</formula>
    </cfRule>
  </conditionalFormatting>
  <conditionalFormatting sqref="F57">
    <cfRule type="expression" dxfId="278" priority="279">
      <formula>F89="yes"</formula>
    </cfRule>
  </conditionalFormatting>
  <conditionalFormatting sqref="F58">
    <cfRule type="expression" dxfId="277" priority="278">
      <formula>F90="yes"</formula>
    </cfRule>
  </conditionalFormatting>
  <conditionalFormatting sqref="F59">
    <cfRule type="expression" dxfId="276" priority="277">
      <formula>F91="yes"</formula>
    </cfRule>
  </conditionalFormatting>
  <conditionalFormatting sqref="F60">
    <cfRule type="expression" dxfId="275" priority="276">
      <formula>F92="yes"</formula>
    </cfRule>
  </conditionalFormatting>
  <conditionalFormatting sqref="F61">
    <cfRule type="expression" dxfId="274" priority="275">
      <formula>F93="yes"</formula>
    </cfRule>
  </conditionalFormatting>
  <conditionalFormatting sqref="F62">
    <cfRule type="expression" dxfId="273" priority="274">
      <formula>F94="yes"</formula>
    </cfRule>
  </conditionalFormatting>
  <conditionalFormatting sqref="G42">
    <cfRule type="expression" dxfId="272" priority="273">
      <formula>G74="yes"</formula>
    </cfRule>
  </conditionalFormatting>
  <conditionalFormatting sqref="G43">
    <cfRule type="expression" dxfId="271" priority="272">
      <formula>G75="yes"</formula>
    </cfRule>
  </conditionalFormatting>
  <conditionalFormatting sqref="G44">
    <cfRule type="expression" dxfId="270" priority="271">
      <formula>G76="yes"</formula>
    </cfRule>
  </conditionalFormatting>
  <conditionalFormatting sqref="G45">
    <cfRule type="expression" dxfId="269" priority="270">
      <formula>G77="yes"</formula>
    </cfRule>
  </conditionalFormatting>
  <conditionalFormatting sqref="G46">
    <cfRule type="expression" dxfId="268" priority="269">
      <formula>G78="yes"</formula>
    </cfRule>
  </conditionalFormatting>
  <conditionalFormatting sqref="G47">
    <cfRule type="expression" dxfId="267" priority="268">
      <formula>G79="yes"</formula>
    </cfRule>
  </conditionalFormatting>
  <conditionalFormatting sqref="G48">
    <cfRule type="expression" dxfId="266" priority="267">
      <formula>G80="yes"</formula>
    </cfRule>
  </conditionalFormatting>
  <conditionalFormatting sqref="G49">
    <cfRule type="expression" dxfId="265" priority="266">
      <formula>G81="yes"</formula>
    </cfRule>
  </conditionalFormatting>
  <conditionalFormatting sqref="G50">
    <cfRule type="expression" dxfId="264" priority="265">
      <formula>G82="yes"</formula>
    </cfRule>
  </conditionalFormatting>
  <conditionalFormatting sqref="G51">
    <cfRule type="expression" dxfId="263" priority="264">
      <formula>G83="yes"</formula>
    </cfRule>
  </conditionalFormatting>
  <conditionalFormatting sqref="G52">
    <cfRule type="expression" dxfId="262" priority="263">
      <formula>G84="yes"</formula>
    </cfRule>
  </conditionalFormatting>
  <conditionalFormatting sqref="G53">
    <cfRule type="expression" dxfId="261" priority="262">
      <formula>G85="yes"</formula>
    </cfRule>
  </conditionalFormatting>
  <conditionalFormatting sqref="G54">
    <cfRule type="expression" dxfId="260" priority="261">
      <formula>G86="yes"</formula>
    </cfRule>
  </conditionalFormatting>
  <conditionalFormatting sqref="G55">
    <cfRule type="expression" dxfId="259" priority="260">
      <formula>G87="yes"</formula>
    </cfRule>
  </conditionalFormatting>
  <conditionalFormatting sqref="G56">
    <cfRule type="expression" dxfId="258" priority="259">
      <formula>G88="yes"</formula>
    </cfRule>
  </conditionalFormatting>
  <conditionalFormatting sqref="G57">
    <cfRule type="expression" dxfId="257" priority="258">
      <formula>G89="yes"</formula>
    </cfRule>
  </conditionalFormatting>
  <conditionalFormatting sqref="G58">
    <cfRule type="expression" dxfId="256" priority="257">
      <formula>G90="yes"</formula>
    </cfRule>
  </conditionalFormatting>
  <conditionalFormatting sqref="G59">
    <cfRule type="expression" dxfId="255" priority="256">
      <formula>G91="yes"</formula>
    </cfRule>
  </conditionalFormatting>
  <conditionalFormatting sqref="G60">
    <cfRule type="expression" dxfId="254" priority="255">
      <formula>G92="yes"</formula>
    </cfRule>
  </conditionalFormatting>
  <conditionalFormatting sqref="G61">
    <cfRule type="expression" dxfId="253" priority="254">
      <formula>G93="yes"</formula>
    </cfRule>
  </conditionalFormatting>
  <conditionalFormatting sqref="G62">
    <cfRule type="expression" dxfId="252" priority="253">
      <formula>G94="yes"</formula>
    </cfRule>
  </conditionalFormatting>
  <conditionalFormatting sqref="H42">
    <cfRule type="expression" dxfId="251" priority="252">
      <formula>H74="yes"</formula>
    </cfRule>
  </conditionalFormatting>
  <conditionalFormatting sqref="H43">
    <cfRule type="expression" dxfId="250" priority="251">
      <formula>H75="yes"</formula>
    </cfRule>
  </conditionalFormatting>
  <conditionalFormatting sqref="H44">
    <cfRule type="expression" dxfId="249" priority="250">
      <formula>H76="yes"</formula>
    </cfRule>
  </conditionalFormatting>
  <conditionalFormatting sqref="H45">
    <cfRule type="expression" dxfId="248" priority="249">
      <formula>H77="yes"</formula>
    </cfRule>
  </conditionalFormatting>
  <conditionalFormatting sqref="H46">
    <cfRule type="expression" dxfId="247" priority="248">
      <formula>H78="yes"</formula>
    </cfRule>
  </conditionalFormatting>
  <conditionalFormatting sqref="H47">
    <cfRule type="expression" dxfId="246" priority="247">
      <formula>H79="yes"</formula>
    </cfRule>
  </conditionalFormatting>
  <conditionalFormatting sqref="H48">
    <cfRule type="expression" dxfId="245" priority="246">
      <formula>H80="yes"</formula>
    </cfRule>
  </conditionalFormatting>
  <conditionalFormatting sqref="H49">
    <cfRule type="expression" dxfId="244" priority="245">
      <formula>H81="yes"</formula>
    </cfRule>
  </conditionalFormatting>
  <conditionalFormatting sqref="H50">
    <cfRule type="expression" dxfId="243" priority="244">
      <formula>H82="yes"</formula>
    </cfRule>
  </conditionalFormatting>
  <conditionalFormatting sqref="H51">
    <cfRule type="expression" dxfId="242" priority="243">
      <formula>H83="yes"</formula>
    </cfRule>
  </conditionalFormatting>
  <conditionalFormatting sqref="H52">
    <cfRule type="expression" dxfId="241" priority="242">
      <formula>H84="yes"</formula>
    </cfRule>
  </conditionalFormatting>
  <conditionalFormatting sqref="H53">
    <cfRule type="expression" dxfId="240" priority="241">
      <formula>H85="yes"</formula>
    </cfRule>
  </conditionalFormatting>
  <conditionalFormatting sqref="H54">
    <cfRule type="expression" dxfId="239" priority="240">
      <formula>H86="yes"</formula>
    </cfRule>
  </conditionalFormatting>
  <conditionalFormatting sqref="H55">
    <cfRule type="expression" dxfId="238" priority="239">
      <formula>H87="yes"</formula>
    </cfRule>
  </conditionalFormatting>
  <conditionalFormatting sqref="H56">
    <cfRule type="expression" dxfId="237" priority="238">
      <formula>H88="yes"</formula>
    </cfRule>
  </conditionalFormatting>
  <conditionalFormatting sqref="H57">
    <cfRule type="expression" dxfId="236" priority="237">
      <formula>H89="yes"</formula>
    </cfRule>
  </conditionalFormatting>
  <conditionalFormatting sqref="H58">
    <cfRule type="expression" dxfId="235" priority="236">
      <formula>H90="yes"</formula>
    </cfRule>
  </conditionalFormatting>
  <conditionalFormatting sqref="H59">
    <cfRule type="expression" dxfId="234" priority="235">
      <formula>H91="yes"</formula>
    </cfRule>
  </conditionalFormatting>
  <conditionalFormatting sqref="H60">
    <cfRule type="expression" dxfId="233" priority="234">
      <formula>H92="yes"</formula>
    </cfRule>
  </conditionalFormatting>
  <conditionalFormatting sqref="H61">
    <cfRule type="expression" dxfId="232" priority="233">
      <formula>H93="yes"</formula>
    </cfRule>
  </conditionalFormatting>
  <conditionalFormatting sqref="H62">
    <cfRule type="expression" dxfId="231" priority="232">
      <formula>H94="yes"</formula>
    </cfRule>
  </conditionalFormatting>
  <conditionalFormatting sqref="I42">
    <cfRule type="expression" dxfId="230" priority="231">
      <formula>I74="yes"</formula>
    </cfRule>
  </conditionalFormatting>
  <conditionalFormatting sqref="I43">
    <cfRule type="expression" dxfId="229" priority="230">
      <formula>I75="yes"</formula>
    </cfRule>
  </conditionalFormatting>
  <conditionalFormatting sqref="I44">
    <cfRule type="expression" dxfId="228" priority="229">
      <formula>I76="yes"</formula>
    </cfRule>
  </conditionalFormatting>
  <conditionalFormatting sqref="I45">
    <cfRule type="expression" dxfId="227" priority="228">
      <formula>I77="yes"</formula>
    </cfRule>
  </conditionalFormatting>
  <conditionalFormatting sqref="I46">
    <cfRule type="expression" dxfId="226" priority="227">
      <formula>I78="yes"</formula>
    </cfRule>
  </conditionalFormatting>
  <conditionalFormatting sqref="I47">
    <cfRule type="expression" dxfId="225" priority="226">
      <formula>I79="yes"</formula>
    </cfRule>
  </conditionalFormatting>
  <conditionalFormatting sqref="I48">
    <cfRule type="expression" dxfId="224" priority="225">
      <formula>I80="yes"</formula>
    </cfRule>
  </conditionalFormatting>
  <conditionalFormatting sqref="I49">
    <cfRule type="expression" dxfId="223" priority="224">
      <formula>I81="yes"</formula>
    </cfRule>
  </conditionalFormatting>
  <conditionalFormatting sqref="I50">
    <cfRule type="expression" dxfId="222" priority="223">
      <formula>I82="yes"</formula>
    </cfRule>
  </conditionalFormatting>
  <conditionalFormatting sqref="I51">
    <cfRule type="expression" dxfId="221" priority="222">
      <formula>I83="yes"</formula>
    </cfRule>
  </conditionalFormatting>
  <conditionalFormatting sqref="I52">
    <cfRule type="expression" dxfId="220" priority="221">
      <formula>I84="yes"</formula>
    </cfRule>
  </conditionalFormatting>
  <conditionalFormatting sqref="I53">
    <cfRule type="expression" dxfId="219" priority="220">
      <formula>I85="yes"</formula>
    </cfRule>
  </conditionalFormatting>
  <conditionalFormatting sqref="I54">
    <cfRule type="expression" dxfId="218" priority="219">
      <formula>I86="yes"</formula>
    </cfRule>
  </conditionalFormatting>
  <conditionalFormatting sqref="I55">
    <cfRule type="expression" dxfId="217" priority="218">
      <formula>I87="yes"</formula>
    </cfRule>
  </conditionalFormatting>
  <conditionalFormatting sqref="I56">
    <cfRule type="expression" dxfId="216" priority="217">
      <formula>I88="yes"</formula>
    </cfRule>
  </conditionalFormatting>
  <conditionalFormatting sqref="I57">
    <cfRule type="expression" dxfId="215" priority="216">
      <formula>I89="yes"</formula>
    </cfRule>
  </conditionalFormatting>
  <conditionalFormatting sqref="I58">
    <cfRule type="expression" dxfId="214" priority="215">
      <formula>I90="yes"</formula>
    </cfRule>
  </conditionalFormatting>
  <conditionalFormatting sqref="I59">
    <cfRule type="expression" dxfId="213" priority="214">
      <formula>I91="yes"</formula>
    </cfRule>
  </conditionalFormatting>
  <conditionalFormatting sqref="I60">
    <cfRule type="expression" dxfId="212" priority="213">
      <formula>I92="yes"</formula>
    </cfRule>
  </conditionalFormatting>
  <conditionalFormatting sqref="I61">
    <cfRule type="expression" dxfId="211" priority="212">
      <formula>I93="yes"</formula>
    </cfRule>
  </conditionalFormatting>
  <conditionalFormatting sqref="I62">
    <cfRule type="expression" dxfId="210" priority="211">
      <formula>I94="yes"</formula>
    </cfRule>
  </conditionalFormatting>
  <conditionalFormatting sqref="J42">
    <cfRule type="expression" dxfId="209" priority="210">
      <formula>J74="yes"</formula>
    </cfRule>
  </conditionalFormatting>
  <conditionalFormatting sqref="J43">
    <cfRule type="expression" dxfId="208" priority="209">
      <formula>J75="yes"</formula>
    </cfRule>
  </conditionalFormatting>
  <conditionalFormatting sqref="J44">
    <cfRule type="expression" dxfId="207" priority="208">
      <formula>J76="yes"</formula>
    </cfRule>
  </conditionalFormatting>
  <conditionalFormatting sqref="J45">
    <cfRule type="expression" dxfId="206" priority="207">
      <formula>J77="yes"</formula>
    </cfRule>
  </conditionalFormatting>
  <conditionalFormatting sqref="J46">
    <cfRule type="expression" dxfId="205" priority="206">
      <formula>J78="yes"</formula>
    </cfRule>
  </conditionalFormatting>
  <conditionalFormatting sqref="J47">
    <cfRule type="expression" dxfId="204" priority="205">
      <formula>J79="yes"</formula>
    </cfRule>
  </conditionalFormatting>
  <conditionalFormatting sqref="J48">
    <cfRule type="expression" dxfId="203" priority="204">
      <formula>J80="yes"</formula>
    </cfRule>
  </conditionalFormatting>
  <conditionalFormatting sqref="J49">
    <cfRule type="expression" dxfId="202" priority="203">
      <formula>J81="yes"</formula>
    </cfRule>
  </conditionalFormatting>
  <conditionalFormatting sqref="J50">
    <cfRule type="expression" dxfId="201" priority="202">
      <formula>J82="yes"</formula>
    </cfRule>
  </conditionalFormatting>
  <conditionalFormatting sqref="J51">
    <cfRule type="expression" dxfId="200" priority="201">
      <formula>J83="yes"</formula>
    </cfRule>
  </conditionalFormatting>
  <conditionalFormatting sqref="J52">
    <cfRule type="expression" dxfId="199" priority="200">
      <formula>J84="yes"</formula>
    </cfRule>
  </conditionalFormatting>
  <conditionalFormatting sqref="J53">
    <cfRule type="expression" dxfId="198" priority="199">
      <formula>J85="yes"</formula>
    </cfRule>
  </conditionalFormatting>
  <conditionalFormatting sqref="J54">
    <cfRule type="expression" dxfId="197" priority="198">
      <formula>J86="yes"</formula>
    </cfRule>
  </conditionalFormatting>
  <conditionalFormatting sqref="J55">
    <cfRule type="expression" dxfId="196" priority="197">
      <formula>J87="yes"</formula>
    </cfRule>
  </conditionalFormatting>
  <conditionalFormatting sqref="J56">
    <cfRule type="expression" dxfId="195" priority="196">
      <formula>J88="yes"</formula>
    </cfRule>
  </conditionalFormatting>
  <conditionalFormatting sqref="J57">
    <cfRule type="expression" dxfId="194" priority="195">
      <formula>J89="yes"</formula>
    </cfRule>
  </conditionalFormatting>
  <conditionalFormatting sqref="J58">
    <cfRule type="expression" dxfId="193" priority="194">
      <formula>J90="yes"</formula>
    </cfRule>
  </conditionalFormatting>
  <conditionalFormatting sqref="J59">
    <cfRule type="expression" dxfId="192" priority="193">
      <formula>J91="yes"</formula>
    </cfRule>
  </conditionalFormatting>
  <conditionalFormatting sqref="J60">
    <cfRule type="expression" dxfId="191" priority="192">
      <formula>J92="yes"</formula>
    </cfRule>
  </conditionalFormatting>
  <conditionalFormatting sqref="J61">
    <cfRule type="expression" dxfId="190" priority="191">
      <formula>J93="yes"</formula>
    </cfRule>
  </conditionalFormatting>
  <conditionalFormatting sqref="J62">
    <cfRule type="expression" dxfId="189" priority="190">
      <formula>J94="yes"</formula>
    </cfRule>
  </conditionalFormatting>
  <conditionalFormatting sqref="K42">
    <cfRule type="expression" dxfId="188" priority="189">
      <formula>K74="yes"</formula>
    </cfRule>
  </conditionalFormatting>
  <conditionalFormatting sqref="K43">
    <cfRule type="expression" dxfId="187" priority="188">
      <formula>K75="yes"</formula>
    </cfRule>
  </conditionalFormatting>
  <conditionalFormatting sqref="K44">
    <cfRule type="expression" dxfId="186" priority="187">
      <formula>K76="yes"</formula>
    </cfRule>
  </conditionalFormatting>
  <conditionalFormatting sqref="K45">
    <cfRule type="expression" dxfId="185" priority="186">
      <formula>K77="yes"</formula>
    </cfRule>
  </conditionalFormatting>
  <conditionalFormatting sqref="K46">
    <cfRule type="expression" dxfId="184" priority="185">
      <formula>K78="yes"</formula>
    </cfRule>
  </conditionalFormatting>
  <conditionalFormatting sqref="K47">
    <cfRule type="expression" dxfId="183" priority="184">
      <formula>K79="yes"</formula>
    </cfRule>
  </conditionalFormatting>
  <conditionalFormatting sqref="K48">
    <cfRule type="expression" dxfId="182" priority="183">
      <formula>K80="yes"</formula>
    </cfRule>
  </conditionalFormatting>
  <conditionalFormatting sqref="K49">
    <cfRule type="expression" dxfId="181" priority="182">
      <formula>K81="yes"</formula>
    </cfRule>
  </conditionalFormatting>
  <conditionalFormatting sqref="K50">
    <cfRule type="expression" dxfId="180" priority="181">
      <formula>K82="yes"</formula>
    </cfRule>
  </conditionalFormatting>
  <conditionalFormatting sqref="K51">
    <cfRule type="expression" dxfId="179" priority="180">
      <formula>K83="yes"</formula>
    </cfRule>
  </conditionalFormatting>
  <conditionalFormatting sqref="K52">
    <cfRule type="expression" dxfId="178" priority="179">
      <formula>K84="yes"</formula>
    </cfRule>
  </conditionalFormatting>
  <conditionalFormatting sqref="K53">
    <cfRule type="expression" dxfId="177" priority="178">
      <formula>K85="yes"</formula>
    </cfRule>
  </conditionalFormatting>
  <conditionalFormatting sqref="K54">
    <cfRule type="expression" dxfId="176" priority="177">
      <formula>K86="yes"</formula>
    </cfRule>
  </conditionalFormatting>
  <conditionalFormatting sqref="K55">
    <cfRule type="expression" dxfId="175" priority="176">
      <formula>K87="yes"</formula>
    </cfRule>
  </conditionalFormatting>
  <conditionalFormatting sqref="K56">
    <cfRule type="expression" dxfId="174" priority="175">
      <formula>K88="yes"</formula>
    </cfRule>
  </conditionalFormatting>
  <conditionalFormatting sqref="K57">
    <cfRule type="expression" dxfId="173" priority="174">
      <formula>K89="yes"</formula>
    </cfRule>
  </conditionalFormatting>
  <conditionalFormatting sqref="K58">
    <cfRule type="expression" dxfId="172" priority="173">
      <formula>K90="yes"</formula>
    </cfRule>
  </conditionalFormatting>
  <conditionalFormatting sqref="K59">
    <cfRule type="expression" dxfId="171" priority="172">
      <formula>K91="yes"</formula>
    </cfRule>
  </conditionalFormatting>
  <conditionalFormatting sqref="K60">
    <cfRule type="expression" dxfId="170" priority="171">
      <formula>K92="yes"</formula>
    </cfRule>
  </conditionalFormatting>
  <conditionalFormatting sqref="K61">
    <cfRule type="expression" dxfId="169" priority="170">
      <formula>K93="yes"</formula>
    </cfRule>
  </conditionalFormatting>
  <conditionalFormatting sqref="K62">
    <cfRule type="expression" dxfId="168" priority="169">
      <formula>K94="yes"</formula>
    </cfRule>
  </conditionalFormatting>
  <conditionalFormatting sqref="L42">
    <cfRule type="expression" dxfId="167" priority="168">
      <formula>L74="yes"</formula>
    </cfRule>
  </conditionalFormatting>
  <conditionalFormatting sqref="L43">
    <cfRule type="expression" dxfId="166" priority="167">
      <formula>L75="yes"</formula>
    </cfRule>
  </conditionalFormatting>
  <conditionalFormatting sqref="L44">
    <cfRule type="expression" dxfId="165" priority="166">
      <formula>L76="yes"</formula>
    </cfRule>
  </conditionalFormatting>
  <conditionalFormatting sqref="L45">
    <cfRule type="expression" dxfId="164" priority="165">
      <formula>L77="yes"</formula>
    </cfRule>
  </conditionalFormatting>
  <conditionalFormatting sqref="L46">
    <cfRule type="expression" dxfId="163" priority="164">
      <formula>L78="yes"</formula>
    </cfRule>
  </conditionalFormatting>
  <conditionalFormatting sqref="L47">
    <cfRule type="expression" dxfId="162" priority="163">
      <formula>L79="yes"</formula>
    </cfRule>
  </conditionalFormatting>
  <conditionalFormatting sqref="L48">
    <cfRule type="expression" dxfId="161" priority="162">
      <formula>L80="yes"</formula>
    </cfRule>
  </conditionalFormatting>
  <conditionalFormatting sqref="L49">
    <cfRule type="expression" dxfId="160" priority="161">
      <formula>L81="yes"</formula>
    </cfRule>
  </conditionalFormatting>
  <conditionalFormatting sqref="L50">
    <cfRule type="expression" dxfId="159" priority="160">
      <formula>L82="yes"</formula>
    </cfRule>
  </conditionalFormatting>
  <conditionalFormatting sqref="L51">
    <cfRule type="expression" dxfId="158" priority="159">
      <formula>L83="yes"</formula>
    </cfRule>
  </conditionalFormatting>
  <conditionalFormatting sqref="L52">
    <cfRule type="expression" dxfId="157" priority="158">
      <formula>L84="yes"</formula>
    </cfRule>
  </conditionalFormatting>
  <conditionalFormatting sqref="L53">
    <cfRule type="expression" dxfId="156" priority="157">
      <formula>L85="yes"</formula>
    </cfRule>
  </conditionalFormatting>
  <conditionalFormatting sqref="L54">
    <cfRule type="expression" dxfId="155" priority="156">
      <formula>L86="yes"</formula>
    </cfRule>
  </conditionalFormatting>
  <conditionalFormatting sqref="L55">
    <cfRule type="expression" dxfId="154" priority="155">
      <formula>L87="yes"</formula>
    </cfRule>
  </conditionalFormatting>
  <conditionalFormatting sqref="L56">
    <cfRule type="expression" dxfId="153" priority="154">
      <formula>L88="yes"</formula>
    </cfRule>
  </conditionalFormatting>
  <conditionalFormatting sqref="L57">
    <cfRule type="expression" dxfId="152" priority="153">
      <formula>L89="yes"</formula>
    </cfRule>
  </conditionalFormatting>
  <conditionalFormatting sqref="L58">
    <cfRule type="expression" dxfId="151" priority="152">
      <formula>L90="yes"</formula>
    </cfRule>
  </conditionalFormatting>
  <conditionalFormatting sqref="L59">
    <cfRule type="expression" dxfId="150" priority="151">
      <formula>L91="yes"</formula>
    </cfRule>
  </conditionalFormatting>
  <conditionalFormatting sqref="L60">
    <cfRule type="expression" dxfId="149" priority="150">
      <formula>L92="yes"</formula>
    </cfRule>
  </conditionalFormatting>
  <conditionalFormatting sqref="L61">
    <cfRule type="expression" dxfId="148" priority="149">
      <formula>L93="yes"</formula>
    </cfRule>
  </conditionalFormatting>
  <conditionalFormatting sqref="L62">
    <cfRule type="expression" dxfId="147" priority="148">
      <formula>L94="yes"</formula>
    </cfRule>
  </conditionalFormatting>
  <conditionalFormatting sqref="M42">
    <cfRule type="expression" dxfId="146" priority="147">
      <formula>M74="yes"</formula>
    </cfRule>
  </conditionalFormatting>
  <conditionalFormatting sqref="M43">
    <cfRule type="expression" dxfId="145" priority="146">
      <formula>M75="yes"</formula>
    </cfRule>
  </conditionalFormatting>
  <conditionalFormatting sqref="M44">
    <cfRule type="expression" dxfId="144" priority="145">
      <formula>M76="yes"</formula>
    </cfRule>
  </conditionalFormatting>
  <conditionalFormatting sqref="M45">
    <cfRule type="expression" dxfId="143" priority="144">
      <formula>M77="yes"</formula>
    </cfRule>
  </conditionalFormatting>
  <conditionalFormatting sqref="M46">
    <cfRule type="expression" dxfId="142" priority="143">
      <formula>M78="yes"</formula>
    </cfRule>
  </conditionalFormatting>
  <conditionalFormatting sqref="M47">
    <cfRule type="expression" dxfId="141" priority="142">
      <formula>M79="yes"</formula>
    </cfRule>
  </conditionalFormatting>
  <conditionalFormatting sqref="M48">
    <cfRule type="expression" dxfId="140" priority="141">
      <formula>M80="yes"</formula>
    </cfRule>
  </conditionalFormatting>
  <conditionalFormatting sqref="M49">
    <cfRule type="expression" dxfId="139" priority="140">
      <formula>M81="yes"</formula>
    </cfRule>
  </conditionalFormatting>
  <conditionalFormatting sqref="M50">
    <cfRule type="expression" dxfId="138" priority="139">
      <formula>M82="yes"</formula>
    </cfRule>
  </conditionalFormatting>
  <conditionalFormatting sqref="M51">
    <cfRule type="expression" dxfId="137" priority="138">
      <formula>M83="yes"</formula>
    </cfRule>
  </conditionalFormatting>
  <conditionalFormatting sqref="M52">
    <cfRule type="expression" dxfId="136" priority="137">
      <formula>M84="yes"</formula>
    </cfRule>
  </conditionalFormatting>
  <conditionalFormatting sqref="M53">
    <cfRule type="expression" dxfId="135" priority="136">
      <formula>M85="yes"</formula>
    </cfRule>
  </conditionalFormatting>
  <conditionalFormatting sqref="M54">
    <cfRule type="expression" dxfId="134" priority="135">
      <formula>M86="yes"</formula>
    </cfRule>
  </conditionalFormatting>
  <conditionalFormatting sqref="M55">
    <cfRule type="expression" dxfId="133" priority="134">
      <formula>M87="yes"</formula>
    </cfRule>
  </conditionalFormatting>
  <conditionalFormatting sqref="M56">
    <cfRule type="expression" dxfId="132" priority="133">
      <formula>M88="yes"</formula>
    </cfRule>
  </conditionalFormatting>
  <conditionalFormatting sqref="M57">
    <cfRule type="expression" dxfId="131" priority="132">
      <formula>M89="yes"</formula>
    </cfRule>
  </conditionalFormatting>
  <conditionalFormatting sqref="M58">
    <cfRule type="expression" dxfId="130" priority="131">
      <formula>M90="yes"</formula>
    </cfRule>
  </conditionalFormatting>
  <conditionalFormatting sqref="M59">
    <cfRule type="expression" dxfId="129" priority="130">
      <formula>M91="yes"</formula>
    </cfRule>
  </conditionalFormatting>
  <conditionalFormatting sqref="M60">
    <cfRule type="expression" dxfId="128" priority="129">
      <formula>M92="yes"</formula>
    </cfRule>
  </conditionalFormatting>
  <conditionalFormatting sqref="M61">
    <cfRule type="expression" dxfId="127" priority="128">
      <formula>M93="yes"</formula>
    </cfRule>
  </conditionalFormatting>
  <conditionalFormatting sqref="M62">
    <cfRule type="expression" dxfId="126" priority="127">
      <formula>M94="yes"</formula>
    </cfRule>
  </conditionalFormatting>
  <conditionalFormatting sqref="N42">
    <cfRule type="expression" dxfId="125" priority="126">
      <formula>N74="yes"</formula>
    </cfRule>
  </conditionalFormatting>
  <conditionalFormatting sqref="N43">
    <cfRule type="expression" dxfId="124" priority="125">
      <formula>N75="yes"</formula>
    </cfRule>
  </conditionalFormatting>
  <conditionalFormatting sqref="N44">
    <cfRule type="expression" dxfId="123" priority="124">
      <formula>N76="yes"</formula>
    </cfRule>
  </conditionalFormatting>
  <conditionalFormatting sqref="N45">
    <cfRule type="expression" dxfId="122" priority="123">
      <formula>N77="yes"</formula>
    </cfRule>
  </conditionalFormatting>
  <conditionalFormatting sqref="N46">
    <cfRule type="expression" dxfId="121" priority="122">
      <formula>N78="yes"</formula>
    </cfRule>
  </conditionalFormatting>
  <conditionalFormatting sqref="N47">
    <cfRule type="expression" dxfId="120" priority="121">
      <formula>N79="yes"</formula>
    </cfRule>
  </conditionalFormatting>
  <conditionalFormatting sqref="N48">
    <cfRule type="expression" dxfId="119" priority="120">
      <formula>N80="yes"</formula>
    </cfRule>
  </conditionalFormatting>
  <conditionalFormatting sqref="N49">
    <cfRule type="expression" dxfId="118" priority="119">
      <formula>N81="yes"</formula>
    </cfRule>
  </conditionalFormatting>
  <conditionalFormatting sqref="N50">
    <cfRule type="expression" dxfId="117" priority="118">
      <formula>N82="yes"</formula>
    </cfRule>
  </conditionalFormatting>
  <conditionalFormatting sqref="N51">
    <cfRule type="expression" dxfId="116" priority="117">
      <formula>N83="yes"</formula>
    </cfRule>
  </conditionalFormatting>
  <conditionalFormatting sqref="N52">
    <cfRule type="expression" dxfId="115" priority="116">
      <formula>N84="yes"</formula>
    </cfRule>
  </conditionalFormatting>
  <conditionalFormatting sqref="N53">
    <cfRule type="expression" dxfId="114" priority="115">
      <formula>N85="yes"</formula>
    </cfRule>
  </conditionalFormatting>
  <conditionalFormatting sqref="N54">
    <cfRule type="expression" dxfId="113" priority="114">
      <formula>N86="yes"</formula>
    </cfRule>
  </conditionalFormatting>
  <conditionalFormatting sqref="N55">
    <cfRule type="expression" dxfId="112" priority="113">
      <formula>N87="yes"</formula>
    </cfRule>
  </conditionalFormatting>
  <conditionalFormatting sqref="N56">
    <cfRule type="expression" dxfId="111" priority="112">
      <formula>N88="yes"</formula>
    </cfRule>
  </conditionalFormatting>
  <conditionalFormatting sqref="N57">
    <cfRule type="expression" dxfId="110" priority="111">
      <formula>N89="yes"</formula>
    </cfRule>
  </conditionalFormatting>
  <conditionalFormatting sqref="N58">
    <cfRule type="expression" dxfId="109" priority="110">
      <formula>N90="yes"</formula>
    </cfRule>
  </conditionalFormatting>
  <conditionalFormatting sqref="N59">
    <cfRule type="expression" dxfId="108" priority="109">
      <formula>N91="yes"</formula>
    </cfRule>
  </conditionalFormatting>
  <conditionalFormatting sqref="N60">
    <cfRule type="expression" dxfId="107" priority="108">
      <formula>N92="yes"</formula>
    </cfRule>
  </conditionalFormatting>
  <conditionalFormatting sqref="N61">
    <cfRule type="expression" dxfId="106" priority="107">
      <formula>N93="yes"</formula>
    </cfRule>
  </conditionalFormatting>
  <conditionalFormatting sqref="N62">
    <cfRule type="expression" dxfId="105" priority="106">
      <formula>N94="yes"</formula>
    </cfRule>
  </conditionalFormatting>
  <conditionalFormatting sqref="O42">
    <cfRule type="expression" dxfId="104" priority="105">
      <formula>O74="yes"</formula>
    </cfRule>
  </conditionalFormatting>
  <conditionalFormatting sqref="O43">
    <cfRule type="expression" dxfId="103" priority="104">
      <formula>O75="yes"</formula>
    </cfRule>
  </conditionalFormatting>
  <conditionalFormatting sqref="O44">
    <cfRule type="expression" dxfId="102" priority="103">
      <formula>O76="yes"</formula>
    </cfRule>
  </conditionalFormatting>
  <conditionalFormatting sqref="O45">
    <cfRule type="expression" dxfId="101" priority="102">
      <formula>O77="yes"</formula>
    </cfRule>
  </conditionalFormatting>
  <conditionalFormatting sqref="O46">
    <cfRule type="expression" dxfId="100" priority="101">
      <formula>O78="yes"</formula>
    </cfRule>
  </conditionalFormatting>
  <conditionalFormatting sqref="O47">
    <cfRule type="expression" dxfId="99" priority="100">
      <formula>O79="yes"</formula>
    </cfRule>
  </conditionalFormatting>
  <conditionalFormatting sqref="O48">
    <cfRule type="expression" dxfId="98" priority="99">
      <formula>O80="yes"</formula>
    </cfRule>
  </conditionalFormatting>
  <conditionalFormatting sqref="O49">
    <cfRule type="expression" dxfId="97" priority="98">
      <formula>O81="yes"</formula>
    </cfRule>
  </conditionalFormatting>
  <conditionalFormatting sqref="O50">
    <cfRule type="expression" dxfId="96" priority="97">
      <formula>O82="yes"</formula>
    </cfRule>
  </conditionalFormatting>
  <conditionalFormatting sqref="O51">
    <cfRule type="expression" dxfId="95" priority="96">
      <formula>O83="yes"</formula>
    </cfRule>
  </conditionalFormatting>
  <conditionalFormatting sqref="O52">
    <cfRule type="expression" dxfId="94" priority="95">
      <formula>O84="yes"</formula>
    </cfRule>
  </conditionalFormatting>
  <conditionalFormatting sqref="O53">
    <cfRule type="expression" dxfId="93" priority="94">
      <formula>O85="yes"</formula>
    </cfRule>
  </conditionalFormatting>
  <conditionalFormatting sqref="O54">
    <cfRule type="expression" dxfId="92" priority="93">
      <formula>O86="yes"</formula>
    </cfRule>
  </conditionalFormatting>
  <conditionalFormatting sqref="O55">
    <cfRule type="expression" dxfId="91" priority="92">
      <formula>O87="yes"</formula>
    </cfRule>
  </conditionalFormatting>
  <conditionalFormatting sqref="O56">
    <cfRule type="expression" dxfId="90" priority="91">
      <formula>O88="yes"</formula>
    </cfRule>
  </conditionalFormatting>
  <conditionalFormatting sqref="O57">
    <cfRule type="expression" dxfId="89" priority="90">
      <formula>O89="yes"</formula>
    </cfRule>
  </conditionalFormatting>
  <conditionalFormatting sqref="O58">
    <cfRule type="expression" dxfId="88" priority="89">
      <formula>O90="yes"</formula>
    </cfRule>
  </conditionalFormatting>
  <conditionalFormatting sqref="O59">
    <cfRule type="expression" dxfId="87" priority="88">
      <formula>O91="yes"</formula>
    </cfRule>
  </conditionalFormatting>
  <conditionalFormatting sqref="O60">
    <cfRule type="expression" dxfId="86" priority="87">
      <formula>O92="yes"</formula>
    </cfRule>
  </conditionalFormatting>
  <conditionalFormatting sqref="O61">
    <cfRule type="expression" dxfId="85" priority="86">
      <formula>O93="yes"</formula>
    </cfRule>
  </conditionalFormatting>
  <conditionalFormatting sqref="O62">
    <cfRule type="expression" dxfId="84" priority="85">
      <formula>O94="yes"</formula>
    </cfRule>
  </conditionalFormatting>
  <conditionalFormatting sqref="P42">
    <cfRule type="expression" dxfId="83" priority="84">
      <formula>P74="yes"</formula>
    </cfRule>
  </conditionalFormatting>
  <conditionalFormatting sqref="P43">
    <cfRule type="expression" dxfId="82" priority="83">
      <formula>P75="yes"</formula>
    </cfRule>
  </conditionalFormatting>
  <conditionalFormatting sqref="P44">
    <cfRule type="expression" dxfId="81" priority="82">
      <formula>P76="yes"</formula>
    </cfRule>
  </conditionalFormatting>
  <conditionalFormatting sqref="P45">
    <cfRule type="expression" dxfId="80" priority="81">
      <formula>P77="yes"</formula>
    </cfRule>
  </conditionalFormatting>
  <conditionalFormatting sqref="P46">
    <cfRule type="expression" dxfId="79" priority="80">
      <formula>P78="yes"</formula>
    </cfRule>
  </conditionalFormatting>
  <conditionalFormatting sqref="P47">
    <cfRule type="expression" dxfId="78" priority="79">
      <formula>P79="yes"</formula>
    </cfRule>
  </conditionalFormatting>
  <conditionalFormatting sqref="P48">
    <cfRule type="expression" dxfId="77" priority="78">
      <formula>P80="yes"</formula>
    </cfRule>
  </conditionalFormatting>
  <conditionalFormatting sqref="P49">
    <cfRule type="expression" dxfId="76" priority="77">
      <formula>P81="yes"</formula>
    </cfRule>
  </conditionalFormatting>
  <conditionalFormatting sqref="P50">
    <cfRule type="expression" dxfId="75" priority="76">
      <formula>P82="yes"</formula>
    </cfRule>
  </conditionalFormatting>
  <conditionalFormatting sqref="P51">
    <cfRule type="expression" dxfId="74" priority="75">
      <formula>P83="yes"</formula>
    </cfRule>
  </conditionalFormatting>
  <conditionalFormatting sqref="P52">
    <cfRule type="expression" dxfId="73" priority="74">
      <formula>P84="yes"</formula>
    </cfRule>
  </conditionalFormatting>
  <conditionalFormatting sqref="P53">
    <cfRule type="expression" dxfId="72" priority="73">
      <formula>P85="yes"</formula>
    </cfRule>
  </conditionalFormatting>
  <conditionalFormatting sqref="P54">
    <cfRule type="expression" dxfId="71" priority="72">
      <formula>P86="yes"</formula>
    </cfRule>
  </conditionalFormatting>
  <conditionalFormatting sqref="P55">
    <cfRule type="expression" dxfId="70" priority="71">
      <formula>P87="yes"</formula>
    </cfRule>
  </conditionalFormatting>
  <conditionalFormatting sqref="P56">
    <cfRule type="expression" dxfId="69" priority="70">
      <formula>P88="yes"</formula>
    </cfRule>
  </conditionalFormatting>
  <conditionalFormatting sqref="P57">
    <cfRule type="expression" dxfId="68" priority="69">
      <formula>P89="yes"</formula>
    </cfRule>
  </conditionalFormatting>
  <conditionalFormatting sqref="P58">
    <cfRule type="expression" dxfId="67" priority="68">
      <formula>P90="yes"</formula>
    </cfRule>
  </conditionalFormatting>
  <conditionalFormatting sqref="P59">
    <cfRule type="expression" dxfId="66" priority="67">
      <formula>P91="yes"</formula>
    </cfRule>
  </conditionalFormatting>
  <conditionalFormatting sqref="P60">
    <cfRule type="expression" dxfId="65" priority="66">
      <formula>P92="yes"</formula>
    </cfRule>
  </conditionalFormatting>
  <conditionalFormatting sqref="P61">
    <cfRule type="expression" dxfId="64" priority="65">
      <formula>P93="yes"</formula>
    </cfRule>
  </conditionalFormatting>
  <conditionalFormatting sqref="P62">
    <cfRule type="expression" dxfId="63" priority="64">
      <formula>P94="yes"</formula>
    </cfRule>
  </conditionalFormatting>
  <conditionalFormatting sqref="Q42">
    <cfRule type="expression" dxfId="62" priority="63">
      <formula>Q74="yes"</formula>
    </cfRule>
  </conditionalFormatting>
  <conditionalFormatting sqref="Q43">
    <cfRule type="expression" dxfId="61" priority="62">
      <formula>Q75="yes"</formula>
    </cfRule>
  </conditionalFormatting>
  <conditionalFormatting sqref="Q44">
    <cfRule type="expression" dxfId="60" priority="61">
      <formula>Q76="yes"</formula>
    </cfRule>
  </conditionalFormatting>
  <conditionalFormatting sqref="Q45">
    <cfRule type="expression" dxfId="59" priority="60">
      <formula>Q77="yes"</formula>
    </cfRule>
  </conditionalFormatting>
  <conditionalFormatting sqref="Q46">
    <cfRule type="expression" dxfId="58" priority="59">
      <formula>Q78="yes"</formula>
    </cfRule>
  </conditionalFormatting>
  <conditionalFormatting sqref="Q47">
    <cfRule type="expression" dxfId="57" priority="58">
      <formula>Q79="yes"</formula>
    </cfRule>
  </conditionalFormatting>
  <conditionalFormatting sqref="Q48">
    <cfRule type="expression" dxfId="56" priority="57">
      <formula>Q80="yes"</formula>
    </cfRule>
  </conditionalFormatting>
  <conditionalFormatting sqref="Q49">
    <cfRule type="expression" dxfId="55" priority="56">
      <formula>Q81="yes"</formula>
    </cfRule>
  </conditionalFormatting>
  <conditionalFormatting sqref="Q50">
    <cfRule type="expression" dxfId="54" priority="55">
      <formula>Q82="yes"</formula>
    </cfRule>
  </conditionalFormatting>
  <conditionalFormatting sqref="Q51">
    <cfRule type="expression" dxfId="53" priority="54">
      <formula>Q83="yes"</formula>
    </cfRule>
  </conditionalFormatting>
  <conditionalFormatting sqref="Q52">
    <cfRule type="expression" dxfId="52" priority="53">
      <formula>Q84="yes"</formula>
    </cfRule>
  </conditionalFormatting>
  <conditionalFormatting sqref="Q53">
    <cfRule type="expression" dxfId="51" priority="52">
      <formula>Q85="yes"</formula>
    </cfRule>
  </conditionalFormatting>
  <conditionalFormatting sqref="Q54">
    <cfRule type="expression" dxfId="50" priority="51">
      <formula>Q86="yes"</formula>
    </cfRule>
  </conditionalFormatting>
  <conditionalFormatting sqref="Q55">
    <cfRule type="expression" dxfId="49" priority="50">
      <formula>Q87="yes"</formula>
    </cfRule>
  </conditionalFormatting>
  <conditionalFormatting sqref="Q56">
    <cfRule type="expression" dxfId="48" priority="49">
      <formula>Q88="yes"</formula>
    </cfRule>
  </conditionalFormatting>
  <conditionalFormatting sqref="Q57">
    <cfRule type="expression" dxfId="47" priority="48">
      <formula>Q89="yes"</formula>
    </cfRule>
  </conditionalFormatting>
  <conditionalFormatting sqref="Q58">
    <cfRule type="expression" dxfId="46" priority="47">
      <formula>Q90="yes"</formula>
    </cfRule>
  </conditionalFormatting>
  <conditionalFormatting sqref="Q59">
    <cfRule type="expression" dxfId="45" priority="46">
      <formula>Q91="yes"</formula>
    </cfRule>
  </conditionalFormatting>
  <conditionalFormatting sqref="Q60">
    <cfRule type="expression" dxfId="44" priority="45">
      <formula>Q92="yes"</formula>
    </cfRule>
  </conditionalFormatting>
  <conditionalFormatting sqref="Q61">
    <cfRule type="expression" dxfId="43" priority="44">
      <formula>Q93="yes"</formula>
    </cfRule>
  </conditionalFormatting>
  <conditionalFormatting sqref="Q62">
    <cfRule type="expression" dxfId="42" priority="43">
      <formula>Q94="yes"</formula>
    </cfRule>
  </conditionalFormatting>
  <conditionalFormatting sqref="R42">
    <cfRule type="expression" dxfId="41" priority="42">
      <formula>R74="yes"</formula>
    </cfRule>
  </conditionalFormatting>
  <conditionalFormatting sqref="R43">
    <cfRule type="expression" dxfId="40" priority="41">
      <formula>R75="yes"</formula>
    </cfRule>
  </conditionalFormatting>
  <conditionalFormatting sqref="R44">
    <cfRule type="expression" dxfId="39" priority="40">
      <formula>R76="yes"</formula>
    </cfRule>
  </conditionalFormatting>
  <conditionalFormatting sqref="R45">
    <cfRule type="expression" dxfId="38" priority="39">
      <formula>R77="yes"</formula>
    </cfRule>
  </conditionalFormatting>
  <conditionalFormatting sqref="R46">
    <cfRule type="expression" dxfId="37" priority="38">
      <formula>R78="yes"</formula>
    </cfRule>
  </conditionalFormatting>
  <conditionalFormatting sqref="R47">
    <cfRule type="expression" dxfId="36" priority="37">
      <formula>R79="yes"</formula>
    </cfRule>
  </conditionalFormatting>
  <conditionalFormatting sqref="R48">
    <cfRule type="expression" dxfId="35" priority="36">
      <formula>R80="yes"</formula>
    </cfRule>
  </conditionalFormatting>
  <conditionalFormatting sqref="R49">
    <cfRule type="expression" dxfId="34" priority="35">
      <formula>R81="yes"</formula>
    </cfRule>
  </conditionalFormatting>
  <conditionalFormatting sqref="R50">
    <cfRule type="expression" dxfId="33" priority="34">
      <formula>R82="yes"</formula>
    </cfRule>
  </conditionalFormatting>
  <conditionalFormatting sqref="R51">
    <cfRule type="expression" dxfId="32" priority="33">
      <formula>R83="yes"</formula>
    </cfRule>
  </conditionalFormatting>
  <conditionalFormatting sqref="R52">
    <cfRule type="expression" dxfId="31" priority="32">
      <formula>R84="yes"</formula>
    </cfRule>
  </conditionalFormatting>
  <conditionalFormatting sqref="R53">
    <cfRule type="expression" dxfId="30" priority="31">
      <formula>R85="yes"</formula>
    </cfRule>
  </conditionalFormatting>
  <conditionalFormatting sqref="R54">
    <cfRule type="expression" dxfId="29" priority="30">
      <formula>R86="yes"</formula>
    </cfRule>
  </conditionalFormatting>
  <conditionalFormatting sqref="R55">
    <cfRule type="expression" dxfId="28" priority="29">
      <formula>R87="yes"</formula>
    </cfRule>
  </conditionalFormatting>
  <conditionalFormatting sqref="R56">
    <cfRule type="expression" dxfId="27" priority="28">
      <formula>R88="yes"</formula>
    </cfRule>
  </conditionalFormatting>
  <conditionalFormatting sqref="R57">
    <cfRule type="expression" dxfId="26" priority="27">
      <formula>R89="yes"</formula>
    </cfRule>
  </conditionalFormatting>
  <conditionalFormatting sqref="R58">
    <cfRule type="expression" dxfId="25" priority="26">
      <formula>R90="yes"</formula>
    </cfRule>
  </conditionalFormatting>
  <conditionalFormatting sqref="R59">
    <cfRule type="expression" dxfId="24" priority="25">
      <formula>R91="yes"</formula>
    </cfRule>
  </conditionalFormatting>
  <conditionalFormatting sqref="R60">
    <cfRule type="expression" dxfId="23" priority="24">
      <formula>R92="yes"</formula>
    </cfRule>
  </conditionalFormatting>
  <conditionalFormatting sqref="R61">
    <cfRule type="expression" dxfId="22" priority="23">
      <formula>R93="yes"</formula>
    </cfRule>
  </conditionalFormatting>
  <conditionalFormatting sqref="R62">
    <cfRule type="expression" dxfId="21" priority="22">
      <formula>R94="yes"</formula>
    </cfRule>
  </conditionalFormatting>
  <conditionalFormatting sqref="S42">
    <cfRule type="expression" dxfId="20" priority="21">
      <formula>S74="yes"</formula>
    </cfRule>
  </conditionalFormatting>
  <conditionalFormatting sqref="S43">
    <cfRule type="expression" dxfId="19" priority="20">
      <formula>S75="yes"</formula>
    </cfRule>
  </conditionalFormatting>
  <conditionalFormatting sqref="S44">
    <cfRule type="expression" dxfId="18" priority="19">
      <formula>S76="yes"</formula>
    </cfRule>
  </conditionalFormatting>
  <conditionalFormatting sqref="S45">
    <cfRule type="expression" dxfId="17" priority="18">
      <formula>S77="yes"</formula>
    </cfRule>
  </conditionalFormatting>
  <conditionalFormatting sqref="S46">
    <cfRule type="expression" dxfId="16" priority="17">
      <formula>S78="yes"</formula>
    </cfRule>
  </conditionalFormatting>
  <conditionalFormatting sqref="S47">
    <cfRule type="expression" dxfId="15" priority="16">
      <formula>S79="yes"</formula>
    </cfRule>
  </conditionalFormatting>
  <conditionalFormatting sqref="S48">
    <cfRule type="expression" dxfId="14" priority="15">
      <formula>S80="yes"</formula>
    </cfRule>
  </conditionalFormatting>
  <conditionalFormatting sqref="S49">
    <cfRule type="expression" dxfId="13" priority="14">
      <formula>S81="yes"</formula>
    </cfRule>
  </conditionalFormatting>
  <conditionalFormatting sqref="S50">
    <cfRule type="expression" dxfId="12" priority="13">
      <formula>S82="yes"</formula>
    </cfRule>
  </conditionalFormatting>
  <conditionalFormatting sqref="S51">
    <cfRule type="expression" dxfId="11" priority="12">
      <formula>S83="yes"</formula>
    </cfRule>
  </conditionalFormatting>
  <conditionalFormatting sqref="S52">
    <cfRule type="expression" dxfId="10" priority="11">
      <formula>S84="yes"</formula>
    </cfRule>
  </conditionalFormatting>
  <conditionalFormatting sqref="S53">
    <cfRule type="expression" dxfId="9" priority="10">
      <formula>S85="yes"</formula>
    </cfRule>
  </conditionalFormatting>
  <conditionalFormatting sqref="S54">
    <cfRule type="expression" dxfId="8" priority="9">
      <formula>S86="yes"</formula>
    </cfRule>
  </conditionalFormatting>
  <conditionalFormatting sqref="S55">
    <cfRule type="expression" dxfId="7" priority="8">
      <formula>S87="yes"</formula>
    </cfRule>
  </conditionalFormatting>
  <conditionalFormatting sqref="S56">
    <cfRule type="expression" dxfId="6" priority="7">
      <formula>S88="yes"</formula>
    </cfRule>
  </conditionalFormatting>
  <conditionalFormatting sqref="S57">
    <cfRule type="expression" dxfId="5" priority="6">
      <formula>S89="yes"</formula>
    </cfRule>
  </conditionalFormatting>
  <conditionalFormatting sqref="S58">
    <cfRule type="expression" dxfId="4" priority="5">
      <formula>S90="yes"</formula>
    </cfRule>
  </conditionalFormatting>
  <conditionalFormatting sqref="S59">
    <cfRule type="expression" dxfId="3" priority="4">
      <formula>S91="yes"</formula>
    </cfRule>
  </conditionalFormatting>
  <conditionalFormatting sqref="S60">
    <cfRule type="expression" dxfId="2" priority="3">
      <formula>S92="yes"</formula>
    </cfRule>
  </conditionalFormatting>
  <conditionalFormatting sqref="S61">
    <cfRule type="expression" dxfId="1" priority="2">
      <formula>S93="yes"</formula>
    </cfRule>
  </conditionalFormatting>
  <conditionalFormatting sqref="S62">
    <cfRule type="expression" dxfId="0" priority="1">
      <formula>S94="yes"</formula>
    </cfRule>
  </conditionalFormatting>
  <printOptions horizontalCentered="1" verticalCentered="1"/>
  <pageMargins left="0.7" right="0.7" top="0.25" bottom="0.25" header="0" footer="0"/>
  <pageSetup paperSize="17" scale="68"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GW-59 Summary Table</vt:lpstr>
      <vt:lpstr>'GW-59 Summary Table'!Print_Area</vt:lpstr>
    </vt:vector>
  </TitlesOfParts>
  <Company>Duke Energy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Hunsucker, Timothy S</dc:creator>
  <cp:lastModifiedBy>thomas_slusser</cp:lastModifiedBy>
  <cp:lastPrinted>2011-01-04T15:37:45Z</cp:lastPrinted>
  <dcterms:created xsi:type="dcterms:W3CDTF">2010-04-27T13:42:13Z</dcterms:created>
  <dcterms:modified xsi:type="dcterms:W3CDTF">2011-03-09T21:18:45Z</dcterms:modified>
</cp:coreProperties>
</file>