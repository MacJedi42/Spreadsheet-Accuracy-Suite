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50" i="1"/>
  <c r="J16"/>
  <c r="B16"/>
  <c r="I21"/>
  <c r="F21"/>
  <c r="H51"/>
  <c r="G51"/>
  <c r="F51"/>
  <c r="E51"/>
  <c r="D51"/>
  <c r="H50"/>
  <c r="G50"/>
  <c r="E50"/>
  <c r="I50" s="1"/>
  <c r="C11" s="1"/>
  <c r="D50"/>
  <c r="H48"/>
  <c r="G48"/>
  <c r="F48"/>
  <c r="E48"/>
  <c r="D48"/>
  <c r="H47"/>
  <c r="G47"/>
  <c r="F47"/>
  <c r="E47"/>
  <c r="D47"/>
  <c r="H45"/>
  <c r="G45"/>
  <c r="F45"/>
  <c r="E45"/>
  <c r="D45"/>
  <c r="H44"/>
  <c r="G44"/>
  <c r="F44"/>
  <c r="E44"/>
  <c r="D44"/>
  <c r="H42"/>
  <c r="G42"/>
  <c r="F42"/>
  <c r="E42"/>
  <c r="D42"/>
  <c r="E41"/>
  <c r="F41"/>
  <c r="G41"/>
  <c r="H41"/>
  <c r="D41"/>
  <c r="D38"/>
  <c r="H39"/>
  <c r="G39"/>
  <c r="F39"/>
  <c r="E39"/>
  <c r="H38"/>
  <c r="G38"/>
  <c r="F38"/>
  <c r="E38"/>
  <c r="D39"/>
  <c r="I47"/>
  <c r="C10" s="1"/>
  <c r="I45"/>
  <c r="N9" s="1"/>
  <c r="I48"/>
  <c r="N10" s="1"/>
  <c r="E31" s="1"/>
  <c r="I44"/>
  <c r="C9"/>
  <c r="I39"/>
  <c r="N7" s="1"/>
  <c r="I51" l="1"/>
  <c r="N11" s="1"/>
  <c r="E32" s="1"/>
  <c r="D31"/>
  <c r="E30"/>
  <c r="D30"/>
  <c r="I41"/>
  <c r="C8" s="1"/>
  <c r="I42"/>
  <c r="N8" s="1"/>
  <c r="E29" s="1"/>
  <c r="I38"/>
  <c r="C7" s="1"/>
  <c r="G19"/>
  <c r="D32" l="1"/>
  <c r="I19"/>
  <c r="D29"/>
  <c r="D28"/>
  <c r="E28"/>
  <c r="I16" s="1"/>
  <c r="G16" l="1"/>
</calcChain>
</file>

<file path=xl/sharedStrings.xml><?xml version="1.0" encoding="utf-8"?>
<sst xmlns="http://schemas.openxmlformats.org/spreadsheetml/2006/main" count="64" uniqueCount="34">
  <si>
    <t>Home Team</t>
  </si>
  <si>
    <t>Games</t>
  </si>
  <si>
    <t>Individual Game Scores</t>
  </si>
  <si>
    <t>Away Team</t>
  </si>
  <si>
    <t>BUCS Squash 2010/11</t>
  </si>
  <si>
    <t>H</t>
  </si>
  <si>
    <t>A</t>
  </si>
  <si>
    <t>Match 1</t>
  </si>
  <si>
    <t>Game</t>
  </si>
  <si>
    <t>Total Games</t>
  </si>
  <si>
    <t>Match 2</t>
  </si>
  <si>
    <t>Match 3</t>
  </si>
  <si>
    <t>Match 4</t>
  </si>
  <si>
    <t>Match 5</t>
  </si>
  <si>
    <t>GAMES</t>
  </si>
  <si>
    <t>MATCH RESULT</t>
  </si>
  <si>
    <t>-</t>
  </si>
  <si>
    <t>POINTS</t>
  </si>
  <si>
    <t>Men's Results Card</t>
  </si>
  <si>
    <t>THIS RESULTS CARD MUST BE EMAILED TO tom.gee@bucs.org.uk WITHIN 5 WORKING DAYS OF THE MATCH</t>
  </si>
  <si>
    <t>Match Date:</t>
  </si>
  <si>
    <t>University of Hertfordshire 1st</t>
  </si>
  <si>
    <t>20.10.2010</t>
  </si>
  <si>
    <t>University of Portsmouth 1st</t>
  </si>
  <si>
    <t>1) Tobias Baab</t>
  </si>
  <si>
    <t>2) Brent Galloway</t>
  </si>
  <si>
    <t>3) Richard Laubert</t>
  </si>
  <si>
    <t>4) Sam Harwood</t>
  </si>
  <si>
    <t>5) Simon Bacon</t>
  </si>
  <si>
    <t>1) Barnaby Smith</t>
  </si>
  <si>
    <t>2) Michael Sherman</t>
  </si>
  <si>
    <t>3) Josh Man</t>
  </si>
  <si>
    <t>4) Adam Stevens</t>
  </si>
  <si>
    <t>5) Rich Glover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</si>
</sst>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Border="1"/>
    <xf numFmtId="0" fontId="0" fillId="2" borderId="0" xfId="0" applyFill="1" applyBorder="1" applyAlignment="1"/>
    <xf numFmtId="0" fontId="0" fillId="2" borderId="0" xfId="0" applyFill="1" applyBorder="1" applyAlignment="1">
      <alignment horizont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0" xfId="0" applyFill="1" applyBorder="1"/>
    <xf numFmtId="0" fontId="0" fillId="3" borderId="2" xfId="0" applyFill="1" applyBorder="1"/>
    <xf numFmtId="0" fontId="0" fillId="3" borderId="1" xfId="0" applyFill="1" applyBorder="1"/>
    <xf numFmtId="0" fontId="3" fillId="3" borderId="0" xfId="0" applyFont="1" applyFill="1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1" xfId="0" applyFill="1" applyBorder="1"/>
    <xf numFmtId="0" fontId="0" fillId="0" borderId="0" xfId="0" applyFill="1"/>
    <xf numFmtId="0" fontId="2" fillId="2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0" fillId="2" borderId="0" xfId="0" applyFill="1" applyBorder="1" applyAlignment="1">
      <alignment horizontal="right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3" borderId="1" xfId="0" applyFill="1" applyBorder="1" applyAlignment="1">
      <alignment vertical="center"/>
    </xf>
    <xf numFmtId="0" fontId="0" fillId="3" borderId="4" xfId="0" applyFill="1" applyBorder="1"/>
    <xf numFmtId="0" fontId="0" fillId="3" borderId="5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2" xfId="0" applyFill="1" applyBorder="1"/>
    <xf numFmtId="0" fontId="0" fillId="3" borderId="7" xfId="0" applyFill="1" applyBorder="1"/>
    <xf numFmtId="0" fontId="2" fillId="4" borderId="0" xfId="0" applyFont="1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 applyProtection="1">
      <alignment horizontal="right"/>
      <protection locked="0"/>
    </xf>
    <xf numFmtId="0" fontId="0" fillId="4" borderId="8" xfId="0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0" fillId="4" borderId="0" xfId="0" applyFill="1" applyBorder="1" applyProtection="1">
      <protection locked="0"/>
    </xf>
    <xf numFmtId="0" fontId="0" fillId="2" borderId="0" xfId="0" applyFill="1" applyBorder="1" applyAlignment="1">
      <alignment vertical="top"/>
    </xf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/>
    <xf numFmtId="0" fontId="3" fillId="3" borderId="0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3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0" fillId="2" borderId="0" xfId="0" applyFill="1" applyAlignment="1">
      <alignment vertical="top"/>
    </xf>
    <xf numFmtId="14" fontId="1" fillId="4" borderId="0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showGridLines="0" showRowColHeaders="0" tabSelected="1" workbookViewId="0">
      <selection activeCell="I9" sqref="I9"/>
    </sheetView>
  </sheetViews>
  <sheetFormatPr defaultColWidth="4.42578125" defaultRowHeight="15"/>
  <cols>
    <col min="1" max="1" width="2.140625" customWidth="1"/>
    <col min="2" max="2" width="34.28515625" customWidth="1"/>
    <col min="3" max="3" width="8.42578125" bestFit="1" customWidth="1"/>
    <col min="4" max="13" width="3" customWidth="1"/>
    <col min="14" max="14" width="8.42578125" customWidth="1"/>
    <col min="15" max="15" width="34.28515625" customWidth="1"/>
    <col min="16" max="16" width="2.140625" customWidth="1"/>
    <col min="17" max="17" width="7" customWidth="1"/>
    <col min="18" max="18" width="34.28515625" customWidth="1"/>
  </cols>
  <sheetData>
    <row r="1" spans="1:18" ht="36.75" customHeight="1" thickTop="1">
      <c r="A1" s="31"/>
      <c r="B1" s="40" t="s">
        <v>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24"/>
      <c r="Q1" s="3"/>
      <c r="R1" s="3"/>
    </row>
    <row r="2" spans="1:18" ht="3" customHeight="1">
      <c r="A2" s="32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25"/>
      <c r="Q2" s="3"/>
      <c r="R2" s="3"/>
    </row>
    <row r="3" spans="1:18" ht="32.25" customHeight="1">
      <c r="A3" s="32"/>
      <c r="B3" s="21" t="s">
        <v>0</v>
      </c>
      <c r="C3" s="53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21" t="s">
        <v>3</v>
      </c>
      <c r="P3" s="4"/>
      <c r="Q3" s="3"/>
      <c r="R3" s="3"/>
    </row>
    <row r="4" spans="1:18" ht="27" customHeight="1">
      <c r="A4" s="32"/>
      <c r="B4" s="34" t="s">
        <v>21</v>
      </c>
      <c r="C4" s="56" t="s">
        <v>20</v>
      </c>
      <c r="D4" s="56"/>
      <c r="E4" s="56"/>
      <c r="F4" s="55" t="s">
        <v>22</v>
      </c>
      <c r="G4" s="55"/>
      <c r="H4" s="55"/>
      <c r="I4" s="55"/>
      <c r="J4" s="55"/>
      <c r="K4" s="55"/>
      <c r="L4" s="55"/>
      <c r="M4" s="55"/>
      <c r="N4" s="39"/>
      <c r="O4" s="34" t="s">
        <v>23</v>
      </c>
      <c r="P4" s="30"/>
    </row>
    <row r="5" spans="1:18" ht="24" customHeight="1">
      <c r="A5" s="32"/>
      <c r="B5" s="49"/>
      <c r="C5" s="5" t="s">
        <v>1</v>
      </c>
      <c r="D5" s="59" t="s">
        <v>2</v>
      </c>
      <c r="E5" s="59"/>
      <c r="F5" s="59"/>
      <c r="G5" s="59"/>
      <c r="H5" s="59"/>
      <c r="I5" s="59"/>
      <c r="J5" s="59"/>
      <c r="K5" s="59"/>
      <c r="L5" s="59"/>
      <c r="M5" s="59"/>
      <c r="N5" s="5" t="s">
        <v>1</v>
      </c>
      <c r="O5" s="49"/>
      <c r="P5" s="26"/>
    </row>
    <row r="6" spans="1:18">
      <c r="A6" s="32"/>
      <c r="B6" s="49"/>
      <c r="C6" s="6"/>
      <c r="D6" s="7" t="s">
        <v>5</v>
      </c>
      <c r="E6" s="7" t="s">
        <v>6</v>
      </c>
      <c r="F6" s="7" t="s">
        <v>5</v>
      </c>
      <c r="G6" s="7" t="s">
        <v>6</v>
      </c>
      <c r="H6" s="7" t="s">
        <v>5</v>
      </c>
      <c r="I6" s="7" t="s">
        <v>6</v>
      </c>
      <c r="J6" s="7" t="s">
        <v>5</v>
      </c>
      <c r="K6" s="7" t="s">
        <v>6</v>
      </c>
      <c r="L6" s="7" t="s">
        <v>5</v>
      </c>
      <c r="M6" s="7" t="s">
        <v>6</v>
      </c>
      <c r="N6" s="6"/>
      <c r="O6" s="49"/>
      <c r="P6" s="26"/>
      <c r="Q6" s="2"/>
      <c r="R6" s="2"/>
    </row>
    <row r="7" spans="1:18">
      <c r="A7" s="32"/>
      <c r="B7" s="35" t="s">
        <v>24</v>
      </c>
      <c r="C7" s="7">
        <f>I38</f>
        <v>3</v>
      </c>
      <c r="D7" s="36">
        <v>11</v>
      </c>
      <c r="E7" s="37">
        <v>8</v>
      </c>
      <c r="F7" s="36">
        <v>11</v>
      </c>
      <c r="G7" s="37">
        <v>0</v>
      </c>
      <c r="H7" s="36">
        <v>11</v>
      </c>
      <c r="I7" s="37">
        <v>5</v>
      </c>
      <c r="J7" s="36"/>
      <c r="K7" s="37"/>
      <c r="L7" s="36"/>
      <c r="M7" s="37"/>
      <c r="N7" s="7">
        <f>I39</f>
        <v>0</v>
      </c>
      <c r="O7" s="38" t="s">
        <v>29</v>
      </c>
      <c r="P7" s="19"/>
    </row>
    <row r="8" spans="1:18">
      <c r="A8" s="32"/>
      <c r="B8" s="35" t="s">
        <v>25</v>
      </c>
      <c r="C8" s="7">
        <f>I41</f>
        <v>2</v>
      </c>
      <c r="D8" s="36">
        <v>11</v>
      </c>
      <c r="E8" s="37">
        <v>9</v>
      </c>
      <c r="F8" s="36">
        <v>9</v>
      </c>
      <c r="G8" s="37">
        <v>11</v>
      </c>
      <c r="H8" s="36">
        <v>6</v>
      </c>
      <c r="I8" s="37">
        <v>11</v>
      </c>
      <c r="J8" s="36">
        <v>11</v>
      </c>
      <c r="K8" s="37">
        <v>6</v>
      </c>
      <c r="L8" s="36">
        <v>9</v>
      </c>
      <c r="M8" s="37">
        <v>11</v>
      </c>
      <c r="N8" s="7">
        <f>I42</f>
        <v>3</v>
      </c>
      <c r="O8" s="38" t="s">
        <v>30</v>
      </c>
      <c r="P8" s="19"/>
    </row>
    <row r="9" spans="1:18">
      <c r="A9" s="32"/>
      <c r="B9" s="35" t="s">
        <v>26</v>
      </c>
      <c r="C9" s="7">
        <f>I44</f>
        <v>2</v>
      </c>
      <c r="D9" s="36">
        <v>11</v>
      </c>
      <c r="E9" s="37">
        <v>9</v>
      </c>
      <c r="F9" s="36">
        <v>10</v>
      </c>
      <c r="G9" s="37">
        <v>12</v>
      </c>
      <c r="H9" s="36">
        <v>9</v>
      </c>
      <c r="I9" s="37">
        <v>11</v>
      </c>
      <c r="J9" s="36">
        <v>12</v>
      </c>
      <c r="K9" s="37">
        <v>10</v>
      </c>
      <c r="L9" s="36">
        <v>8</v>
      </c>
      <c r="M9" s="37">
        <v>11</v>
      </c>
      <c r="N9" s="7">
        <f>I45</f>
        <v>3</v>
      </c>
      <c r="O9" s="38" t="s">
        <v>31</v>
      </c>
      <c r="P9" s="19"/>
    </row>
    <row r="10" spans="1:18">
      <c r="A10" s="32"/>
      <c r="B10" s="35" t="s">
        <v>27</v>
      </c>
      <c r="C10" s="7">
        <f>I47</f>
        <v>3</v>
      </c>
      <c r="D10" s="36">
        <v>7</v>
      </c>
      <c r="E10" s="37">
        <v>11</v>
      </c>
      <c r="F10" s="36">
        <v>11</v>
      </c>
      <c r="G10" s="37">
        <v>5</v>
      </c>
      <c r="H10" s="36">
        <v>12</v>
      </c>
      <c r="I10" s="37">
        <v>10</v>
      </c>
      <c r="J10" s="36">
        <v>11</v>
      </c>
      <c r="K10" s="37">
        <v>4</v>
      </c>
      <c r="L10" s="36"/>
      <c r="M10" s="37"/>
      <c r="N10" s="7">
        <f>I48</f>
        <v>1</v>
      </c>
      <c r="O10" s="38" t="s">
        <v>32</v>
      </c>
      <c r="P10" s="19"/>
    </row>
    <row r="11" spans="1:18">
      <c r="A11" s="32"/>
      <c r="B11" s="35" t="s">
        <v>28</v>
      </c>
      <c r="C11" s="7">
        <f>I50</f>
        <v>3</v>
      </c>
      <c r="D11" s="36">
        <v>11</v>
      </c>
      <c r="E11" s="37">
        <v>6</v>
      </c>
      <c r="F11" s="36">
        <v>11</v>
      </c>
      <c r="G11" s="37">
        <v>5</v>
      </c>
      <c r="H11" s="36">
        <v>11</v>
      </c>
      <c r="I11" s="37">
        <v>7</v>
      </c>
      <c r="J11" s="36"/>
      <c r="K11" s="37"/>
      <c r="L11" s="36"/>
      <c r="M11" s="37"/>
      <c r="N11" s="7">
        <f>I51</f>
        <v>0</v>
      </c>
      <c r="O11" s="38" t="s">
        <v>33</v>
      </c>
      <c r="P11" s="19"/>
    </row>
    <row r="12" spans="1:18" s="20" customFormat="1">
      <c r="A12" s="32"/>
      <c r="B12" s="23"/>
      <c r="C12" s="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7"/>
      <c r="O12" s="18"/>
      <c r="P12" s="19"/>
    </row>
    <row r="13" spans="1:18">
      <c r="A13" s="14"/>
      <c r="B13" s="57" t="s">
        <v>15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27"/>
    </row>
    <row r="14" spans="1:18">
      <c r="A14" s="14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27"/>
      <c r="Q14" s="1"/>
      <c r="R14" s="1"/>
    </row>
    <row r="15" spans="1:18">
      <c r="A15" s="14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27"/>
      <c r="Q15" s="1"/>
      <c r="R15" s="1"/>
    </row>
    <row r="16" spans="1:18" ht="26.25" customHeight="1">
      <c r="A16" s="14"/>
      <c r="B16" s="60" t="str">
        <f>B4</f>
        <v>University of Hertfordshire 1st</v>
      </c>
      <c r="C16" s="60"/>
      <c r="D16" s="60"/>
      <c r="E16" s="60"/>
      <c r="F16" s="60"/>
      <c r="G16" s="8">
        <f>SUM(D28:D32)</f>
        <v>3</v>
      </c>
      <c r="H16" s="9" t="s">
        <v>16</v>
      </c>
      <c r="I16" s="8">
        <f>SUM(E28:E32)</f>
        <v>2</v>
      </c>
      <c r="J16" s="61" t="str">
        <f>O4</f>
        <v>University of Portsmouth 1st</v>
      </c>
      <c r="K16" s="61"/>
      <c r="L16" s="61"/>
      <c r="M16" s="61"/>
      <c r="N16" s="61"/>
      <c r="O16" s="61"/>
      <c r="P16" s="12"/>
      <c r="Q16" s="2"/>
      <c r="R16" s="2"/>
    </row>
    <row r="17" spans="1:18" ht="21" customHeight="1">
      <c r="A17" s="14"/>
      <c r="B17" s="10"/>
      <c r="C17" s="10"/>
      <c r="D17" s="10"/>
      <c r="E17" s="10"/>
      <c r="F17" s="10"/>
      <c r="G17" s="8"/>
      <c r="H17" s="9"/>
      <c r="I17" s="8"/>
      <c r="J17" s="11"/>
      <c r="K17" s="11"/>
      <c r="L17" s="11"/>
      <c r="M17" s="11"/>
      <c r="N17" s="11"/>
      <c r="O17" s="11"/>
      <c r="P17" s="12"/>
      <c r="Q17" s="2"/>
      <c r="R17" s="2"/>
    </row>
    <row r="18" spans="1:18" ht="15.75">
      <c r="A18" s="14"/>
      <c r="B18" s="13"/>
      <c r="C18" s="13"/>
      <c r="D18" s="13"/>
      <c r="E18" s="13"/>
      <c r="F18" s="42" t="s">
        <v>14</v>
      </c>
      <c r="G18" s="43"/>
      <c r="H18" s="43"/>
      <c r="I18" s="43"/>
      <c r="J18" s="44"/>
      <c r="K18" s="13"/>
      <c r="L18" s="13"/>
      <c r="M18" s="13"/>
      <c r="N18" s="13"/>
      <c r="O18" s="13"/>
      <c r="P18" s="15"/>
    </row>
    <row r="19" spans="1:18" ht="15.75">
      <c r="A19" s="14"/>
      <c r="B19" s="13"/>
      <c r="C19" s="13"/>
      <c r="D19" s="13"/>
      <c r="E19" s="13"/>
      <c r="F19" s="22"/>
      <c r="G19" s="16">
        <f>SUM(I38,I41,I44,I47,I50)</f>
        <v>13</v>
      </c>
      <c r="H19" s="16" t="s">
        <v>16</v>
      </c>
      <c r="I19" s="16">
        <f>SUM(I39,I42,I45,I48,I51)</f>
        <v>7</v>
      </c>
      <c r="J19" s="22"/>
      <c r="K19" s="13"/>
      <c r="L19" s="13"/>
      <c r="M19" s="13"/>
      <c r="N19" s="13"/>
      <c r="O19" s="13"/>
      <c r="P19" s="15"/>
    </row>
    <row r="20" spans="1:18" ht="15.75">
      <c r="A20" s="14"/>
      <c r="B20" s="13"/>
      <c r="C20" s="13"/>
      <c r="D20" s="13"/>
      <c r="E20" s="13"/>
      <c r="F20" s="22"/>
      <c r="G20" s="42" t="s">
        <v>17</v>
      </c>
      <c r="H20" s="44"/>
      <c r="I20" s="44"/>
      <c r="J20" s="22"/>
      <c r="K20" s="13"/>
      <c r="L20" s="13"/>
      <c r="M20" s="13"/>
      <c r="N20" s="13"/>
      <c r="O20" s="13"/>
      <c r="P20" s="15"/>
    </row>
    <row r="21" spans="1:18" ht="15.75">
      <c r="A21" s="14"/>
      <c r="B21" s="13"/>
      <c r="C21" s="13"/>
      <c r="D21" s="13"/>
      <c r="E21" s="13"/>
      <c r="F21" s="45">
        <f>SUM(D7:D11,F7:F11,H7:H11,J7:J11,L7:L11)</f>
        <v>203</v>
      </c>
      <c r="G21" s="46"/>
      <c r="H21" s="16" t="s">
        <v>16</v>
      </c>
      <c r="I21" s="47">
        <f>SUM(E7:E11,G7:G11,I7:I11,K7:K11,M7:M11)</f>
        <v>162</v>
      </c>
      <c r="J21" s="48"/>
      <c r="K21" s="13"/>
      <c r="L21" s="13"/>
      <c r="M21" s="13"/>
      <c r="N21" s="13"/>
      <c r="O21" s="13"/>
      <c r="P21" s="15"/>
    </row>
    <row r="22" spans="1:18">
      <c r="A22" s="14"/>
      <c r="B22" s="13"/>
      <c r="C22" s="13"/>
      <c r="D22" s="13"/>
      <c r="E22" s="13"/>
      <c r="F22" s="22"/>
      <c r="G22" s="44"/>
      <c r="H22" s="44"/>
      <c r="I22" s="44"/>
      <c r="J22" s="22"/>
      <c r="K22" s="13"/>
      <c r="L22" s="13"/>
      <c r="M22" s="13"/>
      <c r="N22" s="13"/>
      <c r="O22" s="13"/>
      <c r="P22" s="15"/>
    </row>
    <row r="23" spans="1:18">
      <c r="A23" s="50" t="s">
        <v>19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2"/>
    </row>
    <row r="24" spans="1:18" ht="15.75" thickBot="1">
      <c r="A24" s="33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</row>
    <row r="25" spans="1:18" ht="15.75" thickTop="1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8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8" hidden="1">
      <c r="B27" t="s">
        <v>15</v>
      </c>
      <c r="D27" t="s">
        <v>5</v>
      </c>
      <c r="E27" t="s">
        <v>6</v>
      </c>
    </row>
    <row r="28" spans="1:18" hidden="1">
      <c r="B28" t="s">
        <v>7</v>
      </c>
      <c r="D28">
        <f>IF(C7&gt;N7,1,0)</f>
        <v>1</v>
      </c>
      <c r="E28">
        <f>IF(N7&gt;C7,1,0)</f>
        <v>0</v>
      </c>
    </row>
    <row r="29" spans="1:18" hidden="1">
      <c r="B29" t="s">
        <v>10</v>
      </c>
      <c r="D29">
        <f>IF(C8&gt;N8,1,0)</f>
        <v>0</v>
      </c>
      <c r="E29">
        <f>IF(N8&gt;C8,1,0)</f>
        <v>1</v>
      </c>
    </row>
    <row r="30" spans="1:18" hidden="1">
      <c r="B30" t="s">
        <v>11</v>
      </c>
      <c r="D30">
        <f>IF(C9&gt;N9,1,0)</f>
        <v>0</v>
      </c>
      <c r="E30">
        <f>IF(N9&gt;C9,1,0)</f>
        <v>1</v>
      </c>
    </row>
    <row r="31" spans="1:18" hidden="1">
      <c r="B31" t="s">
        <v>12</v>
      </c>
      <c r="D31">
        <f>IF(C10&gt;N10,1,0)</f>
        <v>1</v>
      </c>
      <c r="E31">
        <f>IF(N10&gt;C10,1,0)</f>
        <v>0</v>
      </c>
    </row>
    <row r="32" spans="1:18" hidden="1">
      <c r="B32" t="s">
        <v>13</v>
      </c>
      <c r="D32">
        <f>IF(C11&gt;N11,1,0)</f>
        <v>1</v>
      </c>
      <c r="E32">
        <f>IF(N11&gt;C11,1,0)</f>
        <v>0</v>
      </c>
    </row>
    <row r="33" spans="2:9" hidden="1"/>
    <row r="34" spans="2:9" hidden="1">
      <c r="B34" t="s">
        <v>14</v>
      </c>
    </row>
    <row r="35" spans="2:9" hidden="1"/>
    <row r="36" spans="2:9" hidden="1">
      <c r="C36" t="s">
        <v>8</v>
      </c>
      <c r="D36">
        <v>1</v>
      </c>
      <c r="E36">
        <v>2</v>
      </c>
      <c r="F36">
        <v>3</v>
      </c>
      <c r="G36">
        <v>4</v>
      </c>
      <c r="H36">
        <v>5</v>
      </c>
      <c r="I36" t="s">
        <v>9</v>
      </c>
    </row>
    <row r="37" spans="2:9" hidden="1">
      <c r="B37" t="s">
        <v>7</v>
      </c>
    </row>
    <row r="38" spans="2:9" hidden="1">
      <c r="B38" t="s">
        <v>5</v>
      </c>
      <c r="D38">
        <f>IF(D7&gt;E7,1,0)</f>
        <v>1</v>
      </c>
      <c r="E38">
        <f>IF(F7&gt;G7,1,0)</f>
        <v>1</v>
      </c>
      <c r="F38">
        <f>IF(H7&gt;I7,1,0)</f>
        <v>1</v>
      </c>
      <c r="G38">
        <f>IF(J7&gt;K7,1,0)</f>
        <v>0</v>
      </c>
      <c r="H38">
        <f>IF(L7&gt;M7,1,0)</f>
        <v>0</v>
      </c>
      <c r="I38">
        <f>SUM(D38:H38)</f>
        <v>3</v>
      </c>
    </row>
    <row r="39" spans="2:9" hidden="1">
      <c r="B39" t="s">
        <v>6</v>
      </c>
      <c r="D39">
        <f>IF(E7&gt;D7,1,0)</f>
        <v>0</v>
      </c>
      <c r="E39">
        <f>IF(G7&gt;F7,1,0)</f>
        <v>0</v>
      </c>
      <c r="F39">
        <f>IF(I7&gt;H7,1,0)</f>
        <v>0</v>
      </c>
      <c r="G39">
        <f>IF(K7&gt;J7,1,0)</f>
        <v>0</v>
      </c>
      <c r="H39">
        <f>IF(M7&gt;L7,1,0)</f>
        <v>0</v>
      </c>
      <c r="I39">
        <f>SUM(D39:H39)</f>
        <v>0</v>
      </c>
    </row>
    <row r="40" spans="2:9" hidden="1">
      <c r="B40" t="s">
        <v>10</v>
      </c>
    </row>
    <row r="41" spans="2:9" hidden="1">
      <c r="B41" t="s">
        <v>5</v>
      </c>
      <c r="D41">
        <f>IF(D8&gt;E8,1,0)</f>
        <v>1</v>
      </c>
      <c r="E41">
        <f>IF(F8&gt;G8,1,0)</f>
        <v>0</v>
      </c>
      <c r="F41">
        <f>IF(H8&gt;I8,1,0)</f>
        <v>0</v>
      </c>
      <c r="G41">
        <f>IF(J8&gt;K8,1,0)</f>
        <v>1</v>
      </c>
      <c r="H41">
        <f>IF(L8&gt;M8,1,0)</f>
        <v>0</v>
      </c>
      <c r="I41">
        <f>SUM(D41:H41)</f>
        <v>2</v>
      </c>
    </row>
    <row r="42" spans="2:9" hidden="1">
      <c r="B42" t="s">
        <v>6</v>
      </c>
      <c r="D42">
        <f>IF(E8&gt;D8,1,0)</f>
        <v>0</v>
      </c>
      <c r="E42">
        <f>IF(G8&gt;F8,1,0)</f>
        <v>1</v>
      </c>
      <c r="F42">
        <f>IF(I8&gt;H8,1,0)</f>
        <v>1</v>
      </c>
      <c r="G42">
        <f>IF(K8&gt;J8,1,0)</f>
        <v>0</v>
      </c>
      <c r="H42">
        <f>IF(M8&gt;L8,1,0)</f>
        <v>1</v>
      </c>
      <c r="I42">
        <f>SUM(D42:H42)</f>
        <v>3</v>
      </c>
    </row>
    <row r="43" spans="2:9" hidden="1">
      <c r="B43" t="s">
        <v>11</v>
      </c>
    </row>
    <row r="44" spans="2:9" hidden="1">
      <c r="B44" t="s">
        <v>5</v>
      </c>
      <c r="D44">
        <f>IF(D9&gt;E9,1,0)</f>
        <v>1</v>
      </c>
      <c r="E44">
        <f>IF(F9&gt;G9,1,0)</f>
        <v>0</v>
      </c>
      <c r="F44">
        <f>IF(H9&gt;I9,1,0)</f>
        <v>0</v>
      </c>
      <c r="G44">
        <f>IF(J9&gt;K9,1,0)</f>
        <v>1</v>
      </c>
      <c r="H44">
        <f>IF(L9&gt;M9,1,0)</f>
        <v>0</v>
      </c>
      <c r="I44">
        <f>SUM(D44:H44)</f>
        <v>2</v>
      </c>
    </row>
    <row r="45" spans="2:9" hidden="1">
      <c r="B45" t="s">
        <v>6</v>
      </c>
      <c r="D45">
        <f>IF(E9&gt;D9,1,0)</f>
        <v>0</v>
      </c>
      <c r="E45">
        <f>IF(G9&gt;F9,1,0)</f>
        <v>1</v>
      </c>
      <c r="F45">
        <f>IF(I9&gt;H9,1,0)</f>
        <v>1</v>
      </c>
      <c r="G45">
        <f>IF(K9&gt;J9,1,0)</f>
        <v>0</v>
      </c>
      <c r="H45">
        <f>IF(M9&gt;L9,1,0)</f>
        <v>1</v>
      </c>
      <c r="I45">
        <f>SUM(D45:H45)</f>
        <v>3</v>
      </c>
    </row>
    <row r="46" spans="2:9" hidden="1">
      <c r="B46" t="s">
        <v>12</v>
      </c>
    </row>
    <row r="47" spans="2:9" hidden="1">
      <c r="B47" t="s">
        <v>5</v>
      </c>
      <c r="D47">
        <f>IF(D10&gt;E10,1,0)</f>
        <v>0</v>
      </c>
      <c r="E47">
        <f>IF(F10&gt;G10,1,0)</f>
        <v>1</v>
      </c>
      <c r="F47">
        <f>IF(H10&gt;I10,1,0)</f>
        <v>1</v>
      </c>
      <c r="G47">
        <f>IF(J10&gt;K10,1,0)</f>
        <v>1</v>
      </c>
      <c r="H47">
        <f>IF(L10&gt;M10,1,0)</f>
        <v>0</v>
      </c>
      <c r="I47">
        <f>SUM(D47:H47)</f>
        <v>3</v>
      </c>
    </row>
    <row r="48" spans="2:9" hidden="1">
      <c r="B48" t="s">
        <v>6</v>
      </c>
      <c r="D48">
        <f>IF(E10&gt;D10,1,0)</f>
        <v>1</v>
      </c>
      <c r="E48">
        <f>IF(G10&gt;F10,1,0)</f>
        <v>0</v>
      </c>
      <c r="F48">
        <f>IF(I10&gt;H10,1,0)</f>
        <v>0</v>
      </c>
      <c r="G48">
        <f>IF(K10&gt;J10,1,0)</f>
        <v>0</v>
      </c>
      <c r="H48">
        <f>IF(M10&gt;L10,1,0)</f>
        <v>0</v>
      </c>
      <c r="I48">
        <f>SUM(D48:H48)</f>
        <v>1</v>
      </c>
    </row>
    <row r="49" spans="2:9" hidden="1">
      <c r="B49" t="s">
        <v>13</v>
      </c>
    </row>
    <row r="50" spans="2:9" hidden="1">
      <c r="B50" t="s">
        <v>5</v>
      </c>
      <c r="D50">
        <f>IF(D11&gt;E11,1,0)</f>
        <v>1</v>
      </c>
      <c r="E50">
        <f>IF(F11&gt;G11,1,0)</f>
        <v>1</v>
      </c>
      <c r="F50">
        <f>IF(H11&gt;I11,1,0)</f>
        <v>1</v>
      </c>
      <c r="G50">
        <f>IF(J11&gt;K11,1,0)</f>
        <v>0</v>
      </c>
      <c r="H50">
        <f>IF(L11&gt;M11,1,0)</f>
        <v>0</v>
      </c>
      <c r="I50">
        <f>SUM(D50:H50)</f>
        <v>3</v>
      </c>
    </row>
    <row r="51" spans="2:9" hidden="1">
      <c r="B51" t="s">
        <v>6</v>
      </c>
      <c r="D51">
        <f>IF(E11&gt;D11,1,0)</f>
        <v>0</v>
      </c>
      <c r="E51">
        <f>IF(G11&gt;F11,1,0)</f>
        <v>0</v>
      </c>
      <c r="F51">
        <f>IF(I11&gt;H11,1,0)</f>
        <v>0</v>
      </c>
      <c r="G51">
        <f>IF(K11&gt;J11,1,0)</f>
        <v>0</v>
      </c>
      <c r="H51">
        <f>IF(M11&gt;L11,1,0)</f>
        <v>0</v>
      </c>
      <c r="I51">
        <f>SUM(D51:H51)</f>
        <v>0</v>
      </c>
    </row>
    <row r="52" spans="2:9" hidden="1"/>
  </sheetData>
  <sheetProtection password="BB1A" sheet="1" selectLockedCells="1"/>
  <mergeCells count="16">
    <mergeCell ref="B13:O15"/>
    <mergeCell ref="G20:I20"/>
    <mergeCell ref="G22:I22"/>
    <mergeCell ref="D5:M5"/>
    <mergeCell ref="B16:F16"/>
    <mergeCell ref="J16:O16"/>
    <mergeCell ref="B1:O2"/>
    <mergeCell ref="F18:J18"/>
    <mergeCell ref="F21:G21"/>
    <mergeCell ref="I21:J21"/>
    <mergeCell ref="O5:O6"/>
    <mergeCell ref="A23:P23"/>
    <mergeCell ref="C3:N3"/>
    <mergeCell ref="F4:M4"/>
    <mergeCell ref="C4:E4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  <ignoredErrors>
    <ignoredError sqref="D39 E44:E45 E47:E48 E50:E5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sprqlp</cp:lastModifiedBy>
  <cp:lastPrinted>2010-08-31T16:12:26Z</cp:lastPrinted>
  <dcterms:created xsi:type="dcterms:W3CDTF">2010-08-31T13:40:05Z</dcterms:created>
  <dcterms:modified xsi:type="dcterms:W3CDTF">2010-10-20T15:26:23Z</dcterms:modified>
</cp:coreProperties>
</file>