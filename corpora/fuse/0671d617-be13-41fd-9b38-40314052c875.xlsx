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8960" windowHeight="1005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O19" i="1"/>
  <c r="N19"/>
  <c r="N18"/>
  <c r="M19"/>
  <c r="K19"/>
  <c r="J18"/>
  <c r="F18"/>
  <c r="I19"/>
  <c r="G19"/>
  <c r="F19"/>
  <c r="O16"/>
  <c r="O15"/>
  <c r="O12"/>
  <c r="O11"/>
  <c r="O8"/>
  <c r="O7"/>
  <c r="N16"/>
  <c r="N15"/>
  <c r="N12"/>
  <c r="N11"/>
  <c r="N8"/>
  <c r="N7"/>
  <c r="N14"/>
  <c r="N10"/>
  <c r="N6"/>
  <c r="N2"/>
  <c r="M16"/>
  <c r="M15"/>
  <c r="M12"/>
  <c r="M11"/>
  <c r="M8"/>
  <c r="M7"/>
  <c r="M3"/>
  <c r="K16"/>
  <c r="K15"/>
  <c r="K12"/>
  <c r="K11"/>
  <c r="K8"/>
  <c r="K7"/>
  <c r="J14"/>
  <c r="J10"/>
  <c r="J6"/>
  <c r="J12"/>
  <c r="J8"/>
  <c r="I16"/>
  <c r="I15"/>
  <c r="I12"/>
  <c r="I11"/>
  <c r="I8"/>
  <c r="I7"/>
  <c r="G16"/>
  <c r="F15"/>
  <c r="G12"/>
  <c r="F12"/>
  <c r="G11"/>
  <c r="G8"/>
  <c r="F8"/>
  <c r="F7"/>
  <c r="F4"/>
  <c r="G4"/>
  <c r="F3"/>
  <c r="F10"/>
  <c r="F6"/>
  <c r="F11"/>
  <c r="G7"/>
  <c r="F14"/>
  <c r="G15" s="1"/>
  <c r="J16"/>
  <c r="J15"/>
  <c r="J11"/>
  <c r="J7"/>
  <c r="F16"/>
  <c r="F2"/>
  <c r="G3" s="1"/>
  <c r="J2" l="1"/>
</calcChain>
</file>

<file path=xl/sharedStrings.xml><?xml version="1.0" encoding="utf-8"?>
<sst xmlns="http://schemas.openxmlformats.org/spreadsheetml/2006/main" count="44" uniqueCount="30">
  <si>
    <t>Agnew</t>
  </si>
  <si>
    <t>Custer</t>
  </si>
  <si>
    <t>McMindes</t>
  </si>
  <si>
    <t>Wiest</t>
  </si>
  <si>
    <t>Wooster</t>
  </si>
  <si>
    <t>Subtotal</t>
  </si>
  <si>
    <t>Stadium</t>
  </si>
  <si>
    <t>Total</t>
  </si>
  <si>
    <t>Fall 2005</t>
  </si>
  <si>
    <t>Spring 2006</t>
  </si>
  <si>
    <t>Fall 2006</t>
  </si>
  <si>
    <t>Spring 2007</t>
  </si>
  <si>
    <t>Fall 2007</t>
  </si>
  <si>
    <t>Spring 2008</t>
  </si>
  <si>
    <t>Fall 2008</t>
  </si>
  <si>
    <t>Spring 2009</t>
  </si>
  <si>
    <t>Traditional Hall Occupancy</t>
  </si>
  <si>
    <t>Wooster Occupancy</t>
  </si>
  <si>
    <t>FHSU Occupancy</t>
  </si>
  <si>
    <t>Stadium Occupancy</t>
  </si>
  <si>
    <t>Overall Occupancy</t>
  </si>
  <si>
    <t>Capacity 05-06</t>
  </si>
  <si>
    <t>Capactity 06-07</t>
  </si>
  <si>
    <t>Capacity 07-08</t>
  </si>
  <si>
    <t>Capacity 08-09</t>
  </si>
  <si>
    <t>d/k</t>
  </si>
  <si>
    <t>Capacity 09-10</t>
  </si>
  <si>
    <t>Fall 2009</t>
  </si>
  <si>
    <t>Spring 2010</t>
  </si>
  <si>
    <t>*84 - There are 84 apartments with 112 bedrooms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</si>
</sst>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9" fontId="2" fillId="0" borderId="0" xfId="1" applyFont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Fill="1"/>
    <xf numFmtId="0" fontId="3" fillId="0" borderId="0" xfId="0" applyFont="1"/>
    <xf numFmtId="0" fontId="3" fillId="0" borderId="0" xfId="0" applyFont="1" applyFill="1"/>
    <xf numFmtId="0" fontId="4" fillId="0" borderId="0" xfId="0" applyFont="1"/>
    <xf numFmtId="9" fontId="4" fillId="0" borderId="0" xfId="1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9" fontId="0" fillId="0" borderId="0" xfId="0" applyNumberFormat="1"/>
    <xf numFmtId="9" fontId="3" fillId="0" borderId="0" xfId="0" applyNumberFormat="1" applyFont="1"/>
    <xf numFmtId="0" fontId="0" fillId="0" borderId="0" xfId="0" quotePrefix="1" applyFont="1" applyAlignment="1">
      <alignment horizontal="center"/>
    </xf>
    <xf numFmtId="0" fontId="2" fillId="0" borderId="0" xfId="0" quotePrefix="1" applyFont="1" applyAlignment="1">
      <alignment horizontal="center"/>
    </xf>
    <xf numFmtId="9" fontId="2" fillId="0" borderId="0" xfId="0" applyNumberFormat="1" applyFont="1"/>
    <xf numFmtId="9" fontId="4" fillId="0" borderId="0" xfId="0" applyNumberFormat="1" applyFont="1"/>
    <xf numFmtId="9" fontId="2" fillId="0" borderId="0" xfId="0" applyNumberFormat="1" applyFont="1" applyAlignment="1">
      <alignment wrapText="1"/>
    </xf>
    <xf numFmtId="9" fontId="4" fillId="0" borderId="0" xfId="0" applyNumberFormat="1" applyFont="1" applyAlignment="1">
      <alignment wrapText="1"/>
    </xf>
    <xf numFmtId="0" fontId="4" fillId="0" borderId="0" xfId="0" quotePrefix="1" applyFont="1" applyAlignment="1">
      <alignment horizontal="center"/>
    </xf>
    <xf numFmtId="0" fontId="3" fillId="2" borderId="0" xfId="0" applyFont="1" applyFill="1" applyAlignment="1">
      <alignment horizontal="right"/>
    </xf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6"/>
  <sheetViews>
    <sheetView tabSelected="1" topLeftCell="B7" workbookViewId="0">
      <selection activeCell="G24" sqref="G24"/>
    </sheetView>
  </sheetViews>
  <sheetFormatPr defaultRowHeight="15"/>
  <cols>
    <col min="1" max="1" width="13.7109375" bestFit="1" customWidth="1"/>
    <col min="4" max="4" width="10.42578125" bestFit="1" customWidth="1"/>
    <col min="6" max="6" width="9.140625" style="1"/>
    <col min="7" max="7" width="10.42578125" style="2" bestFit="1" customWidth="1"/>
    <col min="9" max="9" width="10.7109375" style="1" customWidth="1"/>
    <col min="10" max="10" width="9.140625" style="1"/>
    <col min="11" max="11" width="11.42578125" style="2" customWidth="1"/>
    <col min="13" max="13" width="10.85546875" customWidth="1"/>
    <col min="14" max="14" width="9.140625" style="1"/>
    <col min="15" max="15" width="10.85546875" customWidth="1"/>
  </cols>
  <sheetData>
    <row r="1" spans="1:15" s="1" customFormat="1" ht="45"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4" t="s">
        <v>16</v>
      </c>
      <c r="H1" s="1" t="s">
        <v>4</v>
      </c>
      <c r="I1" s="4" t="s">
        <v>17</v>
      </c>
      <c r="J1" s="1" t="s">
        <v>5</v>
      </c>
      <c r="K1" s="4" t="s">
        <v>18</v>
      </c>
      <c r="L1" s="1" t="s">
        <v>6</v>
      </c>
      <c r="M1" s="4" t="s">
        <v>19</v>
      </c>
      <c r="N1" s="1" t="s">
        <v>7</v>
      </c>
      <c r="O1" s="4" t="s">
        <v>20</v>
      </c>
    </row>
    <row r="2" spans="1:15" s="6" customFormat="1">
      <c r="A2" s="6" t="s">
        <v>21</v>
      </c>
      <c r="B2" s="7">
        <v>122</v>
      </c>
      <c r="C2" s="7">
        <v>81</v>
      </c>
      <c r="D2" s="7">
        <v>589</v>
      </c>
      <c r="E2" s="7">
        <v>375</v>
      </c>
      <c r="F2" s="8">
        <f>SUM(B2:E2)</f>
        <v>1167</v>
      </c>
      <c r="G2" s="9"/>
      <c r="H2" s="7">
        <v>84</v>
      </c>
      <c r="I2" s="8"/>
      <c r="J2" s="8">
        <f>F2+H2</f>
        <v>1251</v>
      </c>
      <c r="K2" s="10"/>
      <c r="L2" s="7">
        <v>116</v>
      </c>
      <c r="N2" s="8">
        <f>J2+L2</f>
        <v>1367</v>
      </c>
    </row>
    <row r="3" spans="1:15">
      <c r="A3" t="s">
        <v>8</v>
      </c>
      <c r="B3">
        <v>91</v>
      </c>
      <c r="C3">
        <v>64</v>
      </c>
      <c r="D3">
        <v>511</v>
      </c>
      <c r="E3">
        <v>166</v>
      </c>
      <c r="F3" s="1">
        <f>SUM(B3:E3)</f>
        <v>832</v>
      </c>
      <c r="G3" s="3">
        <f>F3/F2</f>
        <v>0.71293916023993142</v>
      </c>
      <c r="H3" s="11" t="s">
        <v>25</v>
      </c>
      <c r="I3" s="16" t="s">
        <v>25</v>
      </c>
      <c r="J3" s="16" t="s">
        <v>25</v>
      </c>
      <c r="K3" s="16" t="s">
        <v>25</v>
      </c>
      <c r="L3">
        <v>41</v>
      </c>
      <c r="M3" s="13">
        <f>L3/L2</f>
        <v>0.35344827586206895</v>
      </c>
      <c r="N3" s="21" t="s">
        <v>25</v>
      </c>
      <c r="O3" s="12" t="s">
        <v>25</v>
      </c>
    </row>
    <row r="4" spans="1:15">
      <c r="A4" t="s">
        <v>9</v>
      </c>
      <c r="B4">
        <v>91</v>
      </c>
      <c r="C4">
        <v>56</v>
      </c>
      <c r="D4">
        <v>467</v>
      </c>
      <c r="E4">
        <v>125</v>
      </c>
      <c r="F4" s="1">
        <f>SUM(B4:E4)</f>
        <v>739</v>
      </c>
      <c r="G4" s="3">
        <f>F4/F2</f>
        <v>0.63324764353041985</v>
      </c>
      <c r="H4" s="12" t="s">
        <v>25</v>
      </c>
      <c r="I4" s="16" t="s">
        <v>25</v>
      </c>
      <c r="J4" s="16" t="s">
        <v>25</v>
      </c>
      <c r="K4" s="16" t="s">
        <v>25</v>
      </c>
      <c r="L4" s="15" t="s">
        <v>25</v>
      </c>
      <c r="M4" s="15" t="s">
        <v>25</v>
      </c>
      <c r="N4" s="12" t="s">
        <v>25</v>
      </c>
      <c r="O4" s="12" t="s">
        <v>25</v>
      </c>
    </row>
    <row r="5" spans="1:15">
      <c r="G5" s="3"/>
      <c r="M5" s="13"/>
      <c r="N5" s="8"/>
    </row>
    <row r="6" spans="1:15" s="6" customFormat="1">
      <c r="A6" s="6" t="s">
        <v>22</v>
      </c>
      <c r="B6" s="7">
        <v>114</v>
      </c>
      <c r="C6" s="7">
        <v>81</v>
      </c>
      <c r="D6" s="7">
        <v>589</v>
      </c>
      <c r="E6" s="7">
        <v>375</v>
      </c>
      <c r="F6" s="8">
        <f>SUM(B6:E6)</f>
        <v>1159</v>
      </c>
      <c r="G6" s="9"/>
      <c r="H6" s="7">
        <v>84</v>
      </c>
      <c r="I6" s="8"/>
      <c r="J6" s="8">
        <f>F6+H6</f>
        <v>1243</v>
      </c>
      <c r="K6" s="10"/>
      <c r="L6" s="7">
        <v>116</v>
      </c>
      <c r="M6" s="14"/>
      <c r="N6" s="8">
        <f>J6+L6</f>
        <v>1359</v>
      </c>
    </row>
    <row r="7" spans="1:15">
      <c r="A7" t="s">
        <v>10</v>
      </c>
      <c r="B7">
        <v>64</v>
      </c>
      <c r="C7">
        <v>63</v>
      </c>
      <c r="D7">
        <v>503</v>
      </c>
      <c r="E7">
        <v>104</v>
      </c>
      <c r="F7" s="1">
        <f>SUM(B7:E7)</f>
        <v>734</v>
      </c>
      <c r="G7" s="3">
        <f>F7/F6</f>
        <v>0.63330457290767905</v>
      </c>
      <c r="H7">
        <v>70</v>
      </c>
      <c r="I7" s="17">
        <f>H7/H6</f>
        <v>0.83333333333333337</v>
      </c>
      <c r="J7" s="1">
        <f>F7+H7</f>
        <v>804</v>
      </c>
      <c r="K7" s="19">
        <f>J7/J6</f>
        <v>0.64682220434432824</v>
      </c>
      <c r="L7">
        <v>53</v>
      </c>
      <c r="M7" s="13">
        <f>L7/L6</f>
        <v>0.45689655172413796</v>
      </c>
      <c r="N7" s="8">
        <f>J7+L7</f>
        <v>857</v>
      </c>
      <c r="O7" s="13">
        <f>N7/N6</f>
        <v>0.63061074319352461</v>
      </c>
    </row>
    <row r="8" spans="1:15">
      <c r="A8" t="s">
        <v>11</v>
      </c>
      <c r="B8">
        <v>58</v>
      </c>
      <c r="C8">
        <v>57</v>
      </c>
      <c r="D8">
        <v>433</v>
      </c>
      <c r="E8">
        <v>76</v>
      </c>
      <c r="F8" s="1">
        <f>SUM(B8:E8)</f>
        <v>624</v>
      </c>
      <c r="G8" s="3">
        <f>F8/F6</f>
        <v>0.5383951682484901</v>
      </c>
      <c r="H8">
        <v>68</v>
      </c>
      <c r="I8" s="17">
        <f>H8/H6</f>
        <v>0.80952380952380953</v>
      </c>
      <c r="J8" s="1">
        <f>F8+H8</f>
        <v>692</v>
      </c>
      <c r="K8" s="19">
        <f>J8/J6</f>
        <v>0.5567176186645213</v>
      </c>
      <c r="L8">
        <v>58</v>
      </c>
      <c r="M8" s="13">
        <f>L8/L6</f>
        <v>0.5</v>
      </c>
      <c r="N8" s="8">
        <f>J8+L8</f>
        <v>750</v>
      </c>
      <c r="O8" s="13">
        <f>N8/N6</f>
        <v>0.55187637969094927</v>
      </c>
    </row>
    <row r="9" spans="1:15">
      <c r="G9" s="3"/>
      <c r="I9" s="17"/>
      <c r="K9" s="19"/>
      <c r="M9" s="13"/>
      <c r="N9" s="8"/>
      <c r="O9" s="13"/>
    </row>
    <row r="10" spans="1:15" s="6" customFormat="1">
      <c r="A10" s="6" t="s">
        <v>23</v>
      </c>
      <c r="B10" s="7">
        <v>114</v>
      </c>
      <c r="C10" s="7">
        <v>81</v>
      </c>
      <c r="D10" s="7">
        <v>589</v>
      </c>
      <c r="E10" s="7">
        <v>375</v>
      </c>
      <c r="F10" s="8">
        <f>SUM(B10:E10)</f>
        <v>1159</v>
      </c>
      <c r="G10" s="9"/>
      <c r="H10" s="7">
        <v>84</v>
      </c>
      <c r="I10" s="18"/>
      <c r="J10" s="8">
        <f>F10+H10</f>
        <v>1243</v>
      </c>
      <c r="K10" s="20"/>
      <c r="L10" s="7">
        <v>116</v>
      </c>
      <c r="M10" s="14"/>
      <c r="N10" s="8">
        <f>J10+L10</f>
        <v>1359</v>
      </c>
      <c r="O10" s="14"/>
    </row>
    <row r="11" spans="1:15">
      <c r="A11" t="s">
        <v>12</v>
      </c>
      <c r="B11">
        <v>77</v>
      </c>
      <c r="C11">
        <v>63</v>
      </c>
      <c r="D11">
        <v>508</v>
      </c>
      <c r="E11">
        <v>190</v>
      </c>
      <c r="F11" s="1">
        <f>SUM(B11:E11)</f>
        <v>838</v>
      </c>
      <c r="G11" s="3">
        <f>F11/F10</f>
        <v>0.72303710094909401</v>
      </c>
      <c r="H11">
        <v>71</v>
      </c>
      <c r="I11" s="17">
        <f>H11/H10</f>
        <v>0.84523809523809523</v>
      </c>
      <c r="J11" s="1">
        <f>F11+H11</f>
        <v>909</v>
      </c>
      <c r="K11" s="19">
        <f>J11/J10</f>
        <v>0.73129525341914725</v>
      </c>
      <c r="L11">
        <v>72</v>
      </c>
      <c r="M11" s="13">
        <f>L11/L10</f>
        <v>0.62068965517241381</v>
      </c>
      <c r="N11" s="8">
        <f>J11+L11</f>
        <v>981</v>
      </c>
      <c r="O11" s="13">
        <f>N11/N10</f>
        <v>0.72185430463576161</v>
      </c>
    </row>
    <row r="12" spans="1:15">
      <c r="A12" t="s">
        <v>13</v>
      </c>
      <c r="B12">
        <v>68</v>
      </c>
      <c r="C12">
        <v>58</v>
      </c>
      <c r="D12">
        <v>447</v>
      </c>
      <c r="E12">
        <v>132</v>
      </c>
      <c r="F12" s="1">
        <f>SUM(B12:E12)</f>
        <v>705</v>
      </c>
      <c r="G12" s="3">
        <f>F12/F10</f>
        <v>0.60828300258843826</v>
      </c>
      <c r="H12">
        <v>66</v>
      </c>
      <c r="I12" s="17">
        <f>H12/H10</f>
        <v>0.7857142857142857</v>
      </c>
      <c r="J12" s="1">
        <f>F12+H12</f>
        <v>771</v>
      </c>
      <c r="K12" s="19">
        <f>J12/J10</f>
        <v>0.62027353177795652</v>
      </c>
      <c r="L12">
        <v>97</v>
      </c>
      <c r="M12" s="13">
        <f>L12/L10</f>
        <v>0.83620689655172409</v>
      </c>
      <c r="N12" s="8">
        <f>J12+L12</f>
        <v>868</v>
      </c>
      <c r="O12" s="13">
        <f>N12/N10</f>
        <v>0.63870493009565854</v>
      </c>
    </row>
    <row r="13" spans="1:15">
      <c r="G13" s="3"/>
      <c r="I13" s="17"/>
      <c r="K13" s="19"/>
      <c r="M13" s="13"/>
      <c r="N13" s="8"/>
      <c r="O13" s="13"/>
    </row>
    <row r="14" spans="1:15" s="6" customFormat="1">
      <c r="A14" s="6" t="s">
        <v>24</v>
      </c>
      <c r="B14" s="6">
        <v>114</v>
      </c>
      <c r="C14" s="6">
        <v>51</v>
      </c>
      <c r="D14" s="6">
        <v>589</v>
      </c>
      <c r="E14" s="6">
        <v>300</v>
      </c>
      <c r="F14" s="8">
        <f>SUM(B14:E14)</f>
        <v>1054</v>
      </c>
      <c r="G14" s="9"/>
      <c r="H14" s="7">
        <v>84</v>
      </c>
      <c r="I14" s="18"/>
      <c r="J14" s="8">
        <f>F14+H14</f>
        <v>1138</v>
      </c>
      <c r="K14" s="20"/>
      <c r="L14" s="7">
        <v>116</v>
      </c>
      <c r="M14" s="14"/>
      <c r="N14" s="8">
        <f>J14+L14</f>
        <v>1254</v>
      </c>
      <c r="O14" s="14"/>
    </row>
    <row r="15" spans="1:15">
      <c r="A15" t="s">
        <v>14</v>
      </c>
      <c r="B15" s="5">
        <v>62</v>
      </c>
      <c r="C15" s="5">
        <v>60</v>
      </c>
      <c r="D15" s="5">
        <v>510</v>
      </c>
      <c r="E15" s="5">
        <v>178</v>
      </c>
      <c r="F15" s="1">
        <f>SUM(B15:E15)</f>
        <v>810</v>
      </c>
      <c r="G15" s="3">
        <f>F15/F14</f>
        <v>0.76850094876660346</v>
      </c>
      <c r="H15">
        <v>72</v>
      </c>
      <c r="I15" s="17">
        <f>H15/H14</f>
        <v>0.8571428571428571</v>
      </c>
      <c r="J15" s="1">
        <f>F15+H15</f>
        <v>882</v>
      </c>
      <c r="K15" s="19">
        <f>J15/J14</f>
        <v>0.77504393673110716</v>
      </c>
      <c r="L15">
        <v>115</v>
      </c>
      <c r="M15" s="13">
        <f>L15/L14</f>
        <v>0.99137931034482762</v>
      </c>
      <c r="N15" s="8">
        <f>J15+L15</f>
        <v>997</v>
      </c>
      <c r="O15" s="13">
        <f>N15/N14</f>
        <v>0.79505582137161079</v>
      </c>
    </row>
    <row r="16" spans="1:15">
      <c r="A16" t="s">
        <v>15</v>
      </c>
      <c r="B16">
        <v>57</v>
      </c>
      <c r="C16">
        <v>56</v>
      </c>
      <c r="D16">
        <v>447</v>
      </c>
      <c r="E16">
        <v>135</v>
      </c>
      <c r="F16" s="1">
        <f>SUM(B16+C16+D16+E16)</f>
        <v>695</v>
      </c>
      <c r="G16" s="3">
        <f>F16/F14</f>
        <v>0.65939278937381407</v>
      </c>
      <c r="H16">
        <v>80</v>
      </c>
      <c r="I16" s="17">
        <f>H16/H14</f>
        <v>0.95238095238095233</v>
      </c>
      <c r="J16" s="1">
        <f>F16+H16</f>
        <v>775</v>
      </c>
      <c r="K16" s="19">
        <f>J16/J14</f>
        <v>0.6810193321616872</v>
      </c>
      <c r="L16">
        <v>110</v>
      </c>
      <c r="M16" s="13">
        <f>L16/L14</f>
        <v>0.94827586206896552</v>
      </c>
      <c r="N16" s="8">
        <f>J16+L16</f>
        <v>885</v>
      </c>
      <c r="O16" s="13">
        <f>N16/N14</f>
        <v>0.70574162679425834</v>
      </c>
    </row>
    <row r="17" spans="1:15">
      <c r="G17" s="3"/>
    </row>
    <row r="18" spans="1:15">
      <c r="A18" s="6" t="s">
        <v>26</v>
      </c>
      <c r="B18" s="6">
        <v>122</v>
      </c>
      <c r="C18" s="6">
        <v>59</v>
      </c>
      <c r="D18" s="6">
        <v>599</v>
      </c>
      <c r="E18" s="6">
        <v>281</v>
      </c>
      <c r="F18" s="8">
        <f>SUM(B18:E18)</f>
        <v>1061</v>
      </c>
      <c r="G18" s="9"/>
      <c r="H18" s="22">
        <v>112</v>
      </c>
      <c r="I18" s="8"/>
      <c r="J18" s="8">
        <f>F18+H18</f>
        <v>1173</v>
      </c>
      <c r="K18" s="10"/>
      <c r="L18" s="6">
        <v>116</v>
      </c>
      <c r="M18" s="6"/>
      <c r="N18" s="8">
        <f>J18+L18</f>
        <v>1289</v>
      </c>
      <c r="O18" s="6"/>
    </row>
    <row r="19" spans="1:15">
      <c r="A19" t="s">
        <v>27</v>
      </c>
      <c r="B19">
        <v>96</v>
      </c>
      <c r="C19">
        <v>28</v>
      </c>
      <c r="D19">
        <v>516</v>
      </c>
      <c r="E19">
        <v>235</v>
      </c>
      <c r="F19" s="1">
        <f>SUM(B19:E19)</f>
        <v>875</v>
      </c>
      <c r="G19" s="3">
        <f>F19/F18</f>
        <v>0.82469368520263897</v>
      </c>
      <c r="H19">
        <v>88</v>
      </c>
      <c r="I19" s="17">
        <f>H19/H18</f>
        <v>0.7857142857142857</v>
      </c>
      <c r="J19" s="1">
        <v>963</v>
      </c>
      <c r="K19" s="19">
        <f>J19/J18</f>
        <v>0.82097186700767266</v>
      </c>
      <c r="L19">
        <v>114</v>
      </c>
      <c r="M19" s="13">
        <f>L19/L18</f>
        <v>0.98275862068965514</v>
      </c>
      <c r="N19" s="8">
        <f>J19+L19</f>
        <v>1077</v>
      </c>
      <c r="O19" s="13">
        <f>N19/N18</f>
        <v>0.83553141970519784</v>
      </c>
    </row>
    <row r="20" spans="1:15">
      <c r="A20" t="s">
        <v>28</v>
      </c>
    </row>
    <row r="26" spans="1:15">
      <c r="A26" t="s">
        <v>29</v>
      </c>
      <c r="B26" s="23"/>
      <c r="C26" s="23"/>
      <c r="D26" s="23"/>
    </row>
  </sheetData>
  <pageMargins left="0.7" right="0.7" top="0.75" bottom="0.75" header="0.3" footer="0.3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Fort Hays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FHSU</dc:creator>
  <cp:lastModifiedBy>FHSU</cp:lastModifiedBy>
  <cp:lastPrinted>2009-10-20T14:29:10Z</cp:lastPrinted>
  <dcterms:created xsi:type="dcterms:W3CDTF">2009-05-02T22:10:58Z</dcterms:created>
  <dcterms:modified xsi:type="dcterms:W3CDTF">2009-10-20T21:18:02Z</dcterms:modified>
</cp:coreProperties>
</file>