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721"/>
  <workbookPr date1904="1" showInkAnnotation="0" checkCompatibility="1" autoCompressPictures="0"/>
  <bookViews>
    <workbookView xWindow="-260" yWindow="0" windowWidth="35520" windowHeight="19880" tabRatio="500"/>
  </bookViews>
  <sheets>
    <sheet name="Example 1.3-blank" sheetId="4" r:id="rId1"/>
    <sheet name="Example 1.3-answers" sheetId="3" r:id="rId2"/>
    <sheet name="Example 1.1" sheetId="7" r:id="rId3"/>
    <sheet name="Example 1.2" sheetId="2" r:id="rId4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0" i="2" l="1"/>
  <c r="B39" i="2"/>
  <c r="B36" i="2"/>
  <c r="B20" i="2"/>
  <c r="K3" i="4"/>
  <c r="J3" i="4"/>
  <c r="I3" i="4"/>
  <c r="H3" i="4"/>
  <c r="G3" i="4"/>
  <c r="E20" i="3"/>
  <c r="H30" i="3"/>
  <c r="E19" i="3"/>
  <c r="H28" i="3"/>
  <c r="H29" i="3"/>
  <c r="H27" i="3"/>
  <c r="G17" i="3"/>
  <c r="H17" i="3"/>
  <c r="I17" i="3"/>
  <c r="J17" i="3"/>
  <c r="K17" i="3"/>
  <c r="G18" i="3"/>
  <c r="H18" i="3"/>
  <c r="I18" i="3"/>
  <c r="J18" i="3"/>
  <c r="K18" i="3"/>
  <c r="G19" i="3"/>
  <c r="H19" i="3"/>
  <c r="I19" i="3"/>
  <c r="J19" i="3"/>
  <c r="K19" i="3"/>
  <c r="G20" i="3"/>
  <c r="H20" i="3"/>
  <c r="I20" i="3"/>
  <c r="J20" i="3"/>
  <c r="K20" i="3"/>
  <c r="G21" i="3"/>
  <c r="H21" i="3"/>
  <c r="I21" i="3"/>
  <c r="J21" i="3"/>
  <c r="K21" i="3"/>
  <c r="G22" i="3"/>
  <c r="H22" i="3"/>
  <c r="I22" i="3"/>
  <c r="J22" i="3"/>
  <c r="K22" i="3"/>
  <c r="G23" i="3"/>
  <c r="H23" i="3"/>
  <c r="I23" i="3"/>
  <c r="J23" i="3"/>
  <c r="K23" i="3"/>
  <c r="G24" i="3"/>
  <c r="H24" i="3"/>
  <c r="I24" i="3"/>
  <c r="J24" i="3"/>
  <c r="K24" i="3"/>
  <c r="G25" i="3"/>
  <c r="H25" i="3"/>
  <c r="I25" i="3"/>
  <c r="J25" i="3"/>
  <c r="K25" i="3"/>
  <c r="H16" i="3"/>
  <c r="I16" i="3"/>
  <c r="J16" i="3"/>
  <c r="K16" i="3"/>
  <c r="G16" i="3"/>
  <c r="H3" i="3"/>
  <c r="I3" i="3"/>
  <c r="J3" i="3"/>
  <c r="K3" i="3"/>
  <c r="G3" i="3"/>
  <c r="G5" i="3"/>
  <c r="H5" i="3"/>
  <c r="I5" i="3"/>
  <c r="J5" i="3"/>
  <c r="K5" i="3"/>
  <c r="G6" i="3"/>
  <c r="H6" i="3"/>
  <c r="I6" i="3"/>
  <c r="J6" i="3"/>
  <c r="K6" i="3"/>
  <c r="G7" i="3"/>
  <c r="H7" i="3"/>
  <c r="I7" i="3"/>
  <c r="J7" i="3"/>
  <c r="K7" i="3"/>
  <c r="G8" i="3"/>
  <c r="H8" i="3"/>
  <c r="I8" i="3"/>
  <c r="J8" i="3"/>
  <c r="K8" i="3"/>
  <c r="G9" i="3"/>
  <c r="H9" i="3"/>
  <c r="I9" i="3"/>
  <c r="J9" i="3"/>
  <c r="K9" i="3"/>
  <c r="G10" i="3"/>
  <c r="H10" i="3"/>
  <c r="I10" i="3"/>
  <c r="J10" i="3"/>
  <c r="K10" i="3"/>
  <c r="G11" i="3"/>
  <c r="H11" i="3"/>
  <c r="I11" i="3"/>
  <c r="J11" i="3"/>
  <c r="K11" i="3"/>
  <c r="G12" i="3"/>
  <c r="H12" i="3"/>
  <c r="I12" i="3"/>
  <c r="J12" i="3"/>
  <c r="K12" i="3"/>
  <c r="G13" i="3"/>
  <c r="H13" i="3"/>
  <c r="I13" i="3"/>
  <c r="J13" i="3"/>
  <c r="K13" i="3"/>
  <c r="H4" i="3"/>
  <c r="I4" i="3"/>
  <c r="J4" i="3"/>
  <c r="K4" i="3"/>
  <c r="G4" i="3"/>
  <c r="E18" i="3"/>
  <c r="B19" i="3"/>
  <c r="B18" i="3"/>
</calcChain>
</file>

<file path=xl/sharedStrings.xml><?xml version="1.0" encoding="utf-8"?>
<sst xmlns="http://schemas.openxmlformats.org/spreadsheetml/2006/main" count="128" uniqueCount="71">
  <si>
    <t>Average Daily Rainfall Events per Month for a station in the Mojave Desert</t>
    <phoneticPr fontId="1" type="noConversion"/>
  </si>
  <si>
    <t>Average Daily Rainfall (in inches)</t>
    <phoneticPr fontId="1" type="noConversion"/>
  </si>
  <si>
    <t>Years 11-20</t>
    <phoneticPr fontId="1" type="noConversion"/>
  </si>
  <si>
    <t>Years 21-30</t>
    <phoneticPr fontId="1" type="noConversion"/>
  </si>
  <si>
    <t>Years 31-40</t>
    <phoneticPr fontId="1" type="noConversion"/>
  </si>
  <si>
    <t>Years 41-50</t>
    <phoneticPr fontId="1" type="noConversion"/>
  </si>
  <si>
    <t>Years 1-10</t>
    <phoneticPr fontId="1" type="noConversion"/>
  </si>
  <si>
    <t>Example 1.1 - A study is conducted to measure monthly soil erosion from a research plot.  Given the measured and predicted data, does the measured data seem intuitively correct and which predictive method is best?</t>
    <phoneticPr fontId="1" type="noConversion"/>
  </si>
  <si>
    <t>By:</t>
    <phoneticPr fontId="1" type="noConversion"/>
  </si>
  <si>
    <t>Jason Tinant</t>
    <phoneticPr fontId="1" type="noConversion"/>
  </si>
  <si>
    <t>Date:</t>
    <phoneticPr fontId="1" type="noConversion"/>
  </si>
  <si>
    <t>Table 1.8 from Environmental Hydrology</t>
    <phoneticPr fontId="1" type="noConversion"/>
  </si>
  <si>
    <t>Month</t>
    <phoneticPr fontId="1" type="noConversion"/>
  </si>
  <si>
    <t>Measured Soil Loss</t>
    <phoneticPr fontId="1" type="noConversion"/>
  </si>
  <si>
    <t>Method 1</t>
    <phoneticPr fontId="1" type="noConversion"/>
  </si>
  <si>
    <t>Method 2</t>
    <phoneticPr fontId="1" type="noConversion"/>
  </si>
  <si>
    <t>Predicted Loss</t>
    <phoneticPr fontId="1" type="noConversion"/>
  </si>
  <si>
    <t>Residual Loss</t>
    <phoneticPr fontId="1" type="noConversion"/>
  </si>
  <si>
    <t>Residual Loss</t>
    <phoneticPr fontId="1" type="noConversion"/>
  </si>
  <si>
    <t>Jan</t>
    <phoneticPr fontId="1" type="noConversion"/>
  </si>
  <si>
    <t>Feb</t>
    <phoneticPr fontId="1" type="noConversion"/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</si>
  <si>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</si>
  <si>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</si>
  <si>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</si>
  <si>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</si>
  <si>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</si>
  <si>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</si>
  <si>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</si>
  <si>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</si>
  <si>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</si>
  <si>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</si>
  <si>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Example 1.2: Find the sample mean, median, and mode.  Find sample variance, and standard deviation of a data set of average daily rainfall values for the Mojave Desert.</t>
    <phoneticPr fontId="1" type="noConversion"/>
  </si>
  <si>
    <t>Charles Jason Tinant</t>
    <phoneticPr fontId="1" type="noConversion"/>
  </si>
  <si>
    <t>Table 1.9 from Environmental Hydrology</t>
    <phoneticPr fontId="1" type="noConversion"/>
  </si>
  <si>
    <t>Mean</t>
  </si>
  <si>
    <t>Solution Steps</t>
  </si>
  <si>
    <t>Calculate residual losses</t>
  </si>
  <si>
    <t>Graph measured soil erosion vs. residual (figure 1.10)</t>
  </si>
  <si>
    <t>Graph measured soil and predicted erosion (figure 1.9)</t>
  </si>
  <si>
    <t>Explain in your own words: 1)how the models perform over time and 2) which method is better.</t>
  </si>
  <si>
    <t>Mean =</t>
  </si>
  <si>
    <t>Median =</t>
  </si>
  <si>
    <t>What is the mean and mediane for the data?</t>
  </si>
  <si>
    <t>How is the data shaped?  What is the mode of the data?</t>
  </si>
  <si>
    <t>Bin</t>
  </si>
  <si>
    <t>Frequency</t>
  </si>
  <si>
    <t>Residuals (x - xbar)</t>
  </si>
  <si>
    <t>Residuals squared</t>
  </si>
  <si>
    <t>Sum of squares =</t>
  </si>
  <si>
    <t>DF</t>
  </si>
  <si>
    <t>Variance =</t>
  </si>
  <si>
    <t>Standard Dev =</t>
  </si>
  <si>
    <t>Example 1.3: Ranked data from problem 1.7 is provided below.  Calculate the mean, median and standard deviation of the 50 years of annual peak discharges.  Create a histogram of the data using bins of 1000.  Label the bins by the median value</t>
  </si>
  <si>
    <t>0 - 999</t>
  </si>
  <si>
    <t>1000 - 1999</t>
  </si>
  <si>
    <t>2000 - 2999</t>
  </si>
  <si>
    <t>3000 - 3999</t>
  </si>
  <si>
    <t>4000 - 4999</t>
  </si>
  <si>
    <t>5000 - 5999</t>
  </si>
  <si>
    <t>6000 - 6999</t>
  </si>
  <si>
    <t>7000 - 7999</t>
  </si>
  <si>
    <t>8000 - 8999</t>
  </si>
  <si>
    <t>9000 - 9999</t>
  </si>
  <si>
    <t>10000 - 10999</t>
  </si>
  <si>
    <t>11000 - 11999</t>
  </si>
  <si>
    <t>12000 - 12999</t>
  </si>
  <si>
    <t>Skew =</t>
  </si>
  <si>
    <t>Standard Deviation =</t>
  </si>
  <si>
    <t>Rank</t>
  </si>
  <si>
    <t>Mode =</t>
  </si>
  <si>
    <t>Stdev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</si>
</sst>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7" x14ac:knownFonts="1">
    <font>
      <sz val="10"/>
      <name val="Verdana"/>
    </font>
    <font>
      <sz val="8"/>
      <name val="Verdana"/>
    </font>
    <font>
      <sz val="12"/>
      <color rgb="FF3F3F7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u/>
      <sz val="10"/>
      <color theme="10"/>
      <name val="Verdana"/>
    </font>
    <font>
      <u/>
      <sz val="10"/>
      <color theme="11"/>
      <name val="Verdana"/>
    </font>
    <font>
      <b/>
      <sz val="1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5">
    <xf numFmtId="0" fontId="0" fillId="0" borderId="0"/>
    <xf numFmtId="0" fontId="2" fillId="2" borderId="1" applyNumberFormat="0" applyAlignment="0" applyProtection="0"/>
    <xf numFmtId="0" fontId="3" fillId="3" borderId="1" applyNumberForma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2" borderId="1" xfId="1" applyAlignment="1">
      <alignment horizontal="center"/>
    </xf>
    <xf numFmtId="0" fontId="3" fillId="3" borderId="1" xfId="2" applyAlignment="1">
      <alignment horizontal="center"/>
    </xf>
    <xf numFmtId="0" fontId="0" fillId="0" borderId="0" xfId="0" applyAlignment="1">
      <alignment horizontal="center" wrapText="1" shrinkToFit="1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164" fontId="0" fillId="0" borderId="0" xfId="0" applyNumberFormat="1"/>
  </cellXfs>
  <cellStyles count="25">
    <cellStyle name="Calculation" xfId="2" builtinId="22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Input" xfId="1" builtinId="20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'Example 1.3-answers'!$B$26:$B$38</c:f>
              <c:numCache>
                <c:formatCode>General</c:formatCode>
                <c:ptCount val="13"/>
                <c:pt idx="0">
                  <c:v>500.0</c:v>
                </c:pt>
                <c:pt idx="1">
                  <c:v>1500.0</c:v>
                </c:pt>
                <c:pt idx="2">
                  <c:v>2500.0</c:v>
                </c:pt>
                <c:pt idx="3">
                  <c:v>3500.0</c:v>
                </c:pt>
                <c:pt idx="4">
                  <c:v>4500.0</c:v>
                </c:pt>
                <c:pt idx="5">
                  <c:v>5500.0</c:v>
                </c:pt>
                <c:pt idx="6">
                  <c:v>6500.0</c:v>
                </c:pt>
                <c:pt idx="7">
                  <c:v>7500.0</c:v>
                </c:pt>
                <c:pt idx="8">
                  <c:v>8500.0</c:v>
                </c:pt>
                <c:pt idx="9">
                  <c:v>9500.0</c:v>
                </c:pt>
                <c:pt idx="10">
                  <c:v>10500.0</c:v>
                </c:pt>
                <c:pt idx="11">
                  <c:v>11500.0</c:v>
                </c:pt>
                <c:pt idx="12">
                  <c:v>12500.0</c:v>
                </c:pt>
              </c:numCache>
            </c:numRef>
          </c:cat>
          <c:val>
            <c:numRef>
              <c:f>'Example 1.3-answers'!$C$26:$C$38</c:f>
              <c:numCache>
                <c:formatCode>General</c:formatCode>
                <c:ptCount val="13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4.0</c:v>
                </c:pt>
                <c:pt idx="4">
                  <c:v>5.0</c:v>
                </c:pt>
                <c:pt idx="5">
                  <c:v>7.0</c:v>
                </c:pt>
                <c:pt idx="6">
                  <c:v>8.0</c:v>
                </c:pt>
                <c:pt idx="7">
                  <c:v>6.0</c:v>
                </c:pt>
                <c:pt idx="8">
                  <c:v>5.0</c:v>
                </c:pt>
                <c:pt idx="9">
                  <c:v>4.0</c:v>
                </c:pt>
                <c:pt idx="10">
                  <c:v>3.0</c:v>
                </c:pt>
                <c:pt idx="11">
                  <c:v>2.0</c:v>
                </c:pt>
                <c:pt idx="12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6839528"/>
        <c:axId val="707804680"/>
      </c:barChart>
      <c:catAx>
        <c:axId val="586839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07804680"/>
        <c:crosses val="autoZero"/>
        <c:auto val="1"/>
        <c:lblAlgn val="ctr"/>
        <c:lblOffset val="100"/>
        <c:noMultiLvlLbl val="0"/>
      </c:catAx>
      <c:valAx>
        <c:axId val="707804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68395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127000</xdr:colOff>
      <xdr:row>19</xdr:row>
      <xdr:rowOff>120650</xdr:rowOff>
    </xdr:from>
    <xdr:to>
      <xdr:col>16</xdr:col>
      <xdr:colOff>889000</xdr:colOff>
      <xdr:row>36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view="pageLayout" workbookViewId="0">
      <selection activeCell="E43" sqref="E43"/>
    </sheetView>
  </sheetViews>
  <sheetFormatPr baseColWidth="10" defaultRowHeight="13" x14ac:dyDescent="0"/>
  <cols>
    <col min="7" max="7" width="14.5703125" customWidth="1"/>
  </cols>
  <sheetData>
    <row r="1" spans="1:11" ht="50" customHeight="1">
      <c r="A1" s="11" t="s">
        <v>52</v>
      </c>
      <c r="B1" s="11"/>
      <c r="C1" s="11"/>
      <c r="D1" s="11"/>
      <c r="E1" s="11"/>
      <c r="F1" s="11"/>
    </row>
    <row r="2" spans="1:11">
      <c r="G2" t="s">
        <v>46</v>
      </c>
    </row>
    <row r="3" spans="1:11">
      <c r="B3" s="2" t="s">
        <v>6</v>
      </c>
      <c r="C3" s="2" t="s">
        <v>2</v>
      </c>
      <c r="D3" s="2" t="s">
        <v>3</v>
      </c>
      <c r="E3" s="2" t="s">
        <v>4</v>
      </c>
      <c r="F3" s="2" t="s">
        <v>5</v>
      </c>
      <c r="G3" t="str">
        <f>B3</f>
        <v>Years 1-10</v>
      </c>
      <c r="H3" t="str">
        <f t="shared" ref="H3:K3" si="0">C3</f>
        <v>Years 11-20</v>
      </c>
      <c r="I3" t="str">
        <f t="shared" si="0"/>
        <v>Years 21-30</v>
      </c>
      <c r="J3" t="str">
        <f t="shared" si="0"/>
        <v>Years 31-40</v>
      </c>
      <c r="K3" t="str">
        <f t="shared" si="0"/>
        <v>Years 41-50</v>
      </c>
    </row>
    <row r="4" spans="1:11">
      <c r="B4" s="2">
        <v>990</v>
      </c>
      <c r="C4" s="2">
        <v>4610</v>
      </c>
      <c r="D4" s="2">
        <v>5740</v>
      </c>
      <c r="E4" s="2">
        <v>7170</v>
      </c>
      <c r="F4" s="2">
        <v>9010</v>
      </c>
    </row>
    <row r="5" spans="1:11">
      <c r="B5" s="2">
        <v>1310</v>
      </c>
      <c r="C5" s="2">
        <v>4710</v>
      </c>
      <c r="D5" s="2">
        <v>6210</v>
      </c>
      <c r="E5" s="2">
        <v>7380</v>
      </c>
      <c r="F5" s="2">
        <v>9180</v>
      </c>
    </row>
    <row r="6" spans="1:11">
      <c r="B6" s="2">
        <v>1720</v>
      </c>
      <c r="C6" s="2">
        <v>4780</v>
      </c>
      <c r="D6" s="2">
        <v>6360</v>
      </c>
      <c r="E6" s="2">
        <v>7460</v>
      </c>
      <c r="F6" s="2">
        <v>9500</v>
      </c>
    </row>
    <row r="7" spans="1:11">
      <c r="B7" s="2">
        <v>2120</v>
      </c>
      <c r="C7" s="2">
        <v>4780</v>
      </c>
      <c r="D7" s="2">
        <v>6540</v>
      </c>
      <c r="E7" s="2">
        <v>7760</v>
      </c>
      <c r="F7" s="2">
        <v>9790</v>
      </c>
    </row>
    <row r="8" spans="1:11">
      <c r="B8" s="2">
        <v>2580</v>
      </c>
      <c r="C8" s="2">
        <v>5050</v>
      </c>
      <c r="D8" s="2">
        <v>6660</v>
      </c>
      <c r="E8" s="2">
        <v>7930</v>
      </c>
      <c r="F8" s="2">
        <v>10300</v>
      </c>
    </row>
    <row r="9" spans="1:11">
      <c r="B9" s="2">
        <v>3160</v>
      </c>
      <c r="C9" s="2">
        <v>5150</v>
      </c>
      <c r="D9" s="2">
        <v>6700</v>
      </c>
      <c r="E9" s="2">
        <v>8250</v>
      </c>
      <c r="F9" s="2">
        <v>10700</v>
      </c>
    </row>
    <row r="10" spans="1:11">
      <c r="B10" s="2">
        <v>3180</v>
      </c>
      <c r="C10" s="2">
        <v>5380</v>
      </c>
      <c r="D10" s="2">
        <v>6700</v>
      </c>
      <c r="E10" s="2">
        <v>8350</v>
      </c>
      <c r="F10" s="2">
        <v>10810</v>
      </c>
    </row>
    <row r="11" spans="1:11">
      <c r="B11" s="2">
        <v>3270</v>
      </c>
      <c r="C11" s="2">
        <v>5500</v>
      </c>
      <c r="D11" s="2">
        <v>6930</v>
      </c>
      <c r="E11" s="2">
        <v>8670</v>
      </c>
      <c r="F11" s="2">
        <v>11350</v>
      </c>
    </row>
    <row r="12" spans="1:11">
      <c r="B12" s="2">
        <v>3760</v>
      </c>
      <c r="C12" s="2">
        <v>5530</v>
      </c>
      <c r="D12" s="2">
        <v>6930</v>
      </c>
      <c r="E12" s="2">
        <v>8730</v>
      </c>
      <c r="F12" s="2">
        <v>11900</v>
      </c>
    </row>
    <row r="13" spans="1:11">
      <c r="B13" s="2">
        <v>4550</v>
      </c>
      <c r="C13" s="2">
        <v>5580</v>
      </c>
      <c r="D13" s="2">
        <v>7020</v>
      </c>
      <c r="E13" s="2">
        <v>8860</v>
      </c>
      <c r="F13" s="2">
        <v>12900</v>
      </c>
    </row>
    <row r="15" spans="1:11">
      <c r="G15" t="s">
        <v>47</v>
      </c>
    </row>
    <row r="16" spans="1:11">
      <c r="A16" t="s">
        <v>42</v>
      </c>
    </row>
    <row r="18" spans="1:7">
      <c r="A18" t="s">
        <v>40</v>
      </c>
      <c r="D18" s="10" t="s">
        <v>67</v>
      </c>
    </row>
    <row r="19" spans="1:7">
      <c r="A19" t="s">
        <v>41</v>
      </c>
      <c r="D19" t="s">
        <v>50</v>
      </c>
    </row>
    <row r="20" spans="1:7">
      <c r="D20" t="s">
        <v>66</v>
      </c>
    </row>
    <row r="22" spans="1:7">
      <c r="A22" t="s">
        <v>43</v>
      </c>
    </row>
    <row r="24" spans="1:7">
      <c r="A24" t="s">
        <v>44</v>
      </c>
      <c r="B24" t="s">
        <v>44</v>
      </c>
      <c r="C24" t="s">
        <v>45</v>
      </c>
    </row>
    <row r="25" spans="1:7">
      <c r="A25" t="s">
        <v>53</v>
      </c>
      <c r="B25">
        <v>500</v>
      </c>
    </row>
    <row r="26" spans="1:7">
      <c r="A26" t="s">
        <v>54</v>
      </c>
      <c r="B26">
        <v>1500</v>
      </c>
    </row>
    <row r="27" spans="1:7">
      <c r="A27" t="s">
        <v>55</v>
      </c>
      <c r="B27">
        <v>2500</v>
      </c>
      <c r="G27" t="s">
        <v>48</v>
      </c>
    </row>
    <row r="28" spans="1:7">
      <c r="A28" t="s">
        <v>56</v>
      </c>
      <c r="B28">
        <v>3500</v>
      </c>
      <c r="G28" t="s">
        <v>49</v>
      </c>
    </row>
    <row r="29" spans="1:7">
      <c r="A29" t="s">
        <v>57</v>
      </c>
      <c r="B29">
        <v>4500</v>
      </c>
      <c r="G29" t="s">
        <v>50</v>
      </c>
    </row>
    <row r="30" spans="1:7">
      <c r="A30" t="s">
        <v>58</v>
      </c>
      <c r="B30">
        <v>5500</v>
      </c>
      <c r="G30" t="s">
        <v>51</v>
      </c>
    </row>
    <row r="31" spans="1:7">
      <c r="A31" t="s">
        <v>59</v>
      </c>
      <c r="B31">
        <v>6500</v>
      </c>
    </row>
    <row r="32" spans="1:7">
      <c r="A32" t="s">
        <v>60</v>
      </c>
      <c r="B32">
        <v>7500</v>
      </c>
    </row>
    <row r="33" spans="1:2">
      <c r="A33" t="s">
        <v>61</v>
      </c>
      <c r="B33">
        <v>8500</v>
      </c>
    </row>
    <row r="34" spans="1:2">
      <c r="A34" t="s">
        <v>62</v>
      </c>
      <c r="B34">
        <v>9500</v>
      </c>
    </row>
    <row r="35" spans="1:2">
      <c r="A35" t="s">
        <v>63</v>
      </c>
      <c r="B35">
        <v>10500</v>
      </c>
    </row>
    <row r="36" spans="1:2">
      <c r="A36" t="s">
        <v>64</v>
      </c>
      <c r="B36">
        <v>11500</v>
      </c>
    </row>
    <row r="37" spans="1:2">
      <c r="A37" t="s">
        <v>65</v>
      </c>
      <c r="B37">
        <v>12500</v>
      </c>
    </row>
  </sheetData>
  <mergeCells count="1">
    <mergeCell ref="A1:F1"/>
  </mergeCells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view="pageLayout" workbookViewId="0">
      <selection activeCell="D40" sqref="D40"/>
    </sheetView>
  </sheetViews>
  <sheetFormatPr baseColWidth="10" defaultRowHeight="13" x14ac:dyDescent="0"/>
  <cols>
    <col min="1" max="1" width="12.85546875" customWidth="1"/>
    <col min="7" max="7" width="14.5703125" customWidth="1"/>
  </cols>
  <sheetData>
    <row r="1" spans="1:11" ht="50" customHeight="1">
      <c r="A1" s="11" t="s">
        <v>52</v>
      </c>
      <c r="B1" s="11"/>
      <c r="C1" s="11"/>
      <c r="D1" s="11"/>
      <c r="E1" s="11"/>
      <c r="F1" s="11"/>
    </row>
    <row r="2" spans="1:11">
      <c r="G2" t="s">
        <v>46</v>
      </c>
    </row>
    <row r="3" spans="1:11">
      <c r="B3" s="1" t="s">
        <v>6</v>
      </c>
      <c r="C3" s="1" t="s">
        <v>2</v>
      </c>
      <c r="D3" s="1" t="s">
        <v>3</v>
      </c>
      <c r="E3" s="1" t="s">
        <v>4</v>
      </c>
      <c r="F3" s="1" t="s">
        <v>5</v>
      </c>
      <c r="G3" t="str">
        <f>B3</f>
        <v>Years 1-10</v>
      </c>
      <c r="H3" t="str">
        <f t="shared" ref="H3:K3" si="0">C3</f>
        <v>Years 11-20</v>
      </c>
      <c r="I3" t="str">
        <f t="shared" si="0"/>
        <v>Years 21-30</v>
      </c>
      <c r="J3" t="str">
        <f t="shared" si="0"/>
        <v>Years 31-40</v>
      </c>
      <c r="K3" t="str">
        <f t="shared" si="0"/>
        <v>Years 41-50</v>
      </c>
    </row>
    <row r="4" spans="1:11">
      <c r="B4" s="1">
        <v>990</v>
      </c>
      <c r="C4" s="1">
        <v>4610</v>
      </c>
      <c r="D4" s="1">
        <v>5740</v>
      </c>
      <c r="E4" s="1">
        <v>7170</v>
      </c>
      <c r="F4" s="1">
        <v>9010</v>
      </c>
      <c r="G4">
        <f t="shared" ref="G4:G13" si="1">B4-$B$18</f>
        <v>-5600</v>
      </c>
      <c r="H4">
        <f t="shared" ref="H4:H13" si="2">C4-$B$18</f>
        <v>-1980</v>
      </c>
      <c r="I4">
        <f t="shared" ref="I4:I13" si="3">D4-$B$18</f>
        <v>-850</v>
      </c>
      <c r="J4">
        <f t="shared" ref="J4:J13" si="4">E4-$B$18</f>
        <v>580</v>
      </c>
      <c r="K4">
        <f t="shared" ref="K4:K13" si="5">F4-$B$18</f>
        <v>2420</v>
      </c>
    </row>
    <row r="5" spans="1:11">
      <c r="B5" s="1">
        <v>1310</v>
      </c>
      <c r="C5" s="1">
        <v>4710</v>
      </c>
      <c r="D5" s="1">
        <v>6210</v>
      </c>
      <c r="E5" s="1">
        <v>7380</v>
      </c>
      <c r="F5" s="1">
        <v>9180</v>
      </c>
      <c r="G5">
        <f t="shared" si="1"/>
        <v>-5280</v>
      </c>
      <c r="H5">
        <f t="shared" si="2"/>
        <v>-1880</v>
      </c>
      <c r="I5">
        <f t="shared" si="3"/>
        <v>-380</v>
      </c>
      <c r="J5">
        <f t="shared" si="4"/>
        <v>790</v>
      </c>
      <c r="K5">
        <f t="shared" si="5"/>
        <v>2590</v>
      </c>
    </row>
    <row r="6" spans="1:11">
      <c r="B6" s="1">
        <v>1720</v>
      </c>
      <c r="C6" s="1">
        <v>4780</v>
      </c>
      <c r="D6" s="1">
        <v>6360</v>
      </c>
      <c r="E6" s="1">
        <v>7460</v>
      </c>
      <c r="F6" s="1">
        <v>9500</v>
      </c>
      <c r="G6">
        <f t="shared" si="1"/>
        <v>-4870</v>
      </c>
      <c r="H6">
        <f t="shared" si="2"/>
        <v>-1810</v>
      </c>
      <c r="I6">
        <f t="shared" si="3"/>
        <v>-230</v>
      </c>
      <c r="J6">
        <f t="shared" si="4"/>
        <v>870</v>
      </c>
      <c r="K6">
        <f t="shared" si="5"/>
        <v>2910</v>
      </c>
    </row>
    <row r="7" spans="1:11">
      <c r="B7" s="1">
        <v>2120</v>
      </c>
      <c r="C7" s="1">
        <v>4780</v>
      </c>
      <c r="D7" s="1">
        <v>6540</v>
      </c>
      <c r="E7" s="1">
        <v>7760</v>
      </c>
      <c r="F7" s="1">
        <v>9790</v>
      </c>
      <c r="G7">
        <f t="shared" si="1"/>
        <v>-4470</v>
      </c>
      <c r="H7">
        <f t="shared" si="2"/>
        <v>-1810</v>
      </c>
      <c r="I7">
        <f t="shared" si="3"/>
        <v>-50</v>
      </c>
      <c r="J7">
        <f t="shared" si="4"/>
        <v>1170</v>
      </c>
      <c r="K7">
        <f t="shared" si="5"/>
        <v>3200</v>
      </c>
    </row>
    <row r="8" spans="1:11">
      <c r="B8" s="1">
        <v>2580</v>
      </c>
      <c r="C8" s="1">
        <v>5050</v>
      </c>
      <c r="D8" s="1">
        <v>6660</v>
      </c>
      <c r="E8" s="1">
        <v>7930</v>
      </c>
      <c r="F8" s="1">
        <v>10300</v>
      </c>
      <c r="G8">
        <f t="shared" si="1"/>
        <v>-4010</v>
      </c>
      <c r="H8">
        <f t="shared" si="2"/>
        <v>-1540</v>
      </c>
      <c r="I8">
        <f t="shared" si="3"/>
        <v>70</v>
      </c>
      <c r="J8">
        <f t="shared" si="4"/>
        <v>1340</v>
      </c>
      <c r="K8">
        <f t="shared" si="5"/>
        <v>3710</v>
      </c>
    </row>
    <row r="9" spans="1:11">
      <c r="B9" s="1">
        <v>3160</v>
      </c>
      <c r="C9" s="1">
        <v>5150</v>
      </c>
      <c r="D9" s="1">
        <v>6700</v>
      </c>
      <c r="E9" s="1">
        <v>8250</v>
      </c>
      <c r="F9" s="1">
        <v>10700</v>
      </c>
      <c r="G9">
        <f t="shared" si="1"/>
        <v>-3430</v>
      </c>
      <c r="H9">
        <f t="shared" si="2"/>
        <v>-1440</v>
      </c>
      <c r="I9">
        <f t="shared" si="3"/>
        <v>110</v>
      </c>
      <c r="J9">
        <f t="shared" si="4"/>
        <v>1660</v>
      </c>
      <c r="K9">
        <f t="shared" si="5"/>
        <v>4110</v>
      </c>
    </row>
    <row r="10" spans="1:11">
      <c r="B10" s="1">
        <v>3180</v>
      </c>
      <c r="C10" s="1">
        <v>5380</v>
      </c>
      <c r="D10" s="1">
        <v>6700</v>
      </c>
      <c r="E10" s="1">
        <v>8350</v>
      </c>
      <c r="F10" s="1">
        <v>10810</v>
      </c>
      <c r="G10">
        <f t="shared" si="1"/>
        <v>-3410</v>
      </c>
      <c r="H10">
        <f t="shared" si="2"/>
        <v>-1210</v>
      </c>
      <c r="I10">
        <f t="shared" si="3"/>
        <v>110</v>
      </c>
      <c r="J10">
        <f t="shared" si="4"/>
        <v>1760</v>
      </c>
      <c r="K10">
        <f t="shared" si="5"/>
        <v>4220</v>
      </c>
    </row>
    <row r="11" spans="1:11">
      <c r="B11" s="1">
        <v>3270</v>
      </c>
      <c r="C11" s="1">
        <v>5500</v>
      </c>
      <c r="D11" s="1">
        <v>6930</v>
      </c>
      <c r="E11" s="1">
        <v>8670</v>
      </c>
      <c r="F11" s="1">
        <v>11350</v>
      </c>
      <c r="G11">
        <f t="shared" si="1"/>
        <v>-3320</v>
      </c>
      <c r="H11">
        <f t="shared" si="2"/>
        <v>-1090</v>
      </c>
      <c r="I11">
        <f t="shared" si="3"/>
        <v>340</v>
      </c>
      <c r="J11">
        <f t="shared" si="4"/>
        <v>2080</v>
      </c>
      <c r="K11">
        <f t="shared" si="5"/>
        <v>4760</v>
      </c>
    </row>
    <row r="12" spans="1:11">
      <c r="B12" s="1">
        <v>3760</v>
      </c>
      <c r="C12" s="1">
        <v>5530</v>
      </c>
      <c r="D12" s="1">
        <v>6930</v>
      </c>
      <c r="E12" s="1">
        <v>8730</v>
      </c>
      <c r="F12" s="1">
        <v>11900</v>
      </c>
      <c r="G12">
        <f t="shared" si="1"/>
        <v>-2830</v>
      </c>
      <c r="H12">
        <f t="shared" si="2"/>
        <v>-1060</v>
      </c>
      <c r="I12">
        <f t="shared" si="3"/>
        <v>340</v>
      </c>
      <c r="J12">
        <f t="shared" si="4"/>
        <v>2140</v>
      </c>
      <c r="K12">
        <f t="shared" si="5"/>
        <v>5310</v>
      </c>
    </row>
    <row r="13" spans="1:11">
      <c r="B13" s="1">
        <v>4550</v>
      </c>
      <c r="C13" s="1">
        <v>5580</v>
      </c>
      <c r="D13" s="1">
        <v>7020</v>
      </c>
      <c r="E13" s="1">
        <v>8860</v>
      </c>
      <c r="F13" s="1">
        <v>12900</v>
      </c>
      <c r="G13">
        <f t="shared" si="1"/>
        <v>-2040</v>
      </c>
      <c r="H13">
        <f t="shared" si="2"/>
        <v>-1010</v>
      </c>
      <c r="I13">
        <f t="shared" si="3"/>
        <v>430</v>
      </c>
      <c r="J13">
        <f t="shared" si="4"/>
        <v>2270</v>
      </c>
      <c r="K13">
        <f t="shared" si="5"/>
        <v>6310</v>
      </c>
    </row>
    <row r="15" spans="1:11">
      <c r="G15" t="s">
        <v>47</v>
      </c>
    </row>
    <row r="16" spans="1:11">
      <c r="A16" t="s">
        <v>42</v>
      </c>
      <c r="G16">
        <f>G4^2</f>
        <v>31360000</v>
      </c>
      <c r="H16">
        <f t="shared" ref="H16:K16" si="6">H4^2</f>
        <v>3920400</v>
      </c>
      <c r="I16">
        <f t="shared" si="6"/>
        <v>722500</v>
      </c>
      <c r="J16">
        <f t="shared" si="6"/>
        <v>336400</v>
      </c>
      <c r="K16">
        <f t="shared" si="6"/>
        <v>5856400</v>
      </c>
    </row>
    <row r="17" spans="1:11">
      <c r="G17">
        <f t="shared" ref="G17:K17" si="7">G5^2</f>
        <v>27878400</v>
      </c>
      <c r="H17">
        <f t="shared" si="7"/>
        <v>3534400</v>
      </c>
      <c r="I17">
        <f t="shared" si="7"/>
        <v>144400</v>
      </c>
      <c r="J17">
        <f t="shared" si="7"/>
        <v>624100</v>
      </c>
      <c r="K17">
        <f t="shared" si="7"/>
        <v>6708100</v>
      </c>
    </row>
    <row r="18" spans="1:11">
      <c r="A18" t="s">
        <v>40</v>
      </c>
      <c r="B18">
        <f>AVERAGE(B4:F13)</f>
        <v>6590</v>
      </c>
      <c r="D18" s="10" t="s">
        <v>67</v>
      </c>
      <c r="E18">
        <f>_xlfn.STDEV.S(B4:F13)</f>
        <v>2804.5837116974003</v>
      </c>
      <c r="G18">
        <f t="shared" ref="G18:K18" si="8">G6^2</f>
        <v>23716900</v>
      </c>
      <c r="H18">
        <f t="shared" si="8"/>
        <v>3276100</v>
      </c>
      <c r="I18">
        <f t="shared" si="8"/>
        <v>52900</v>
      </c>
      <c r="J18">
        <f t="shared" si="8"/>
        <v>756900</v>
      </c>
      <c r="K18">
        <f t="shared" si="8"/>
        <v>8468100</v>
      </c>
    </row>
    <row r="19" spans="1:11">
      <c r="A19" t="s">
        <v>41</v>
      </c>
      <c r="B19">
        <f>MEDIAN(B4:F13)</f>
        <v>6680</v>
      </c>
      <c r="D19" t="s">
        <v>50</v>
      </c>
      <c r="E19">
        <f>_xlfn.VAR.S(B4:F13)</f>
        <v>7865689.7959183678</v>
      </c>
      <c r="G19">
        <f t="shared" ref="G19:K19" si="9">G7^2</f>
        <v>19980900</v>
      </c>
      <c r="H19">
        <f t="shared" si="9"/>
        <v>3276100</v>
      </c>
      <c r="I19">
        <f t="shared" si="9"/>
        <v>2500</v>
      </c>
      <c r="J19">
        <f t="shared" si="9"/>
        <v>1368900</v>
      </c>
      <c r="K19">
        <f t="shared" si="9"/>
        <v>10240000</v>
      </c>
    </row>
    <row r="20" spans="1:11">
      <c r="D20" t="s">
        <v>66</v>
      </c>
      <c r="E20">
        <f>SKEW(B4:F13)</f>
        <v>5.8503008136820918E-2</v>
      </c>
      <c r="G20">
        <f t="shared" ref="G20:K20" si="10">G8^2</f>
        <v>16080100</v>
      </c>
      <c r="H20">
        <f t="shared" si="10"/>
        <v>2371600</v>
      </c>
      <c r="I20">
        <f t="shared" si="10"/>
        <v>4900</v>
      </c>
      <c r="J20">
        <f t="shared" si="10"/>
        <v>1795600</v>
      </c>
      <c r="K20">
        <f t="shared" si="10"/>
        <v>13764100</v>
      </c>
    </row>
    <row r="21" spans="1:11">
      <c r="G21">
        <f t="shared" ref="G21:K21" si="11">G9^2</f>
        <v>11764900</v>
      </c>
      <c r="H21">
        <f t="shared" si="11"/>
        <v>2073600</v>
      </c>
      <c r="I21">
        <f t="shared" si="11"/>
        <v>12100</v>
      </c>
      <c r="J21">
        <f t="shared" si="11"/>
        <v>2755600</v>
      </c>
      <c r="K21">
        <f t="shared" si="11"/>
        <v>16892100</v>
      </c>
    </row>
    <row r="22" spans="1:11">
      <c r="G22">
        <f t="shared" ref="G22:K22" si="12">G10^2</f>
        <v>11628100</v>
      </c>
      <c r="H22">
        <f t="shared" si="12"/>
        <v>1464100</v>
      </c>
      <c r="I22">
        <f t="shared" si="12"/>
        <v>12100</v>
      </c>
      <c r="J22">
        <f t="shared" si="12"/>
        <v>3097600</v>
      </c>
      <c r="K22">
        <f t="shared" si="12"/>
        <v>17808400</v>
      </c>
    </row>
    <row r="23" spans="1:11">
      <c r="A23" t="s">
        <v>43</v>
      </c>
      <c r="G23">
        <f t="shared" ref="G23:K23" si="13">G11^2</f>
        <v>11022400</v>
      </c>
      <c r="H23">
        <f t="shared" si="13"/>
        <v>1188100</v>
      </c>
      <c r="I23">
        <f t="shared" si="13"/>
        <v>115600</v>
      </c>
      <c r="J23">
        <f t="shared" si="13"/>
        <v>4326400</v>
      </c>
      <c r="K23">
        <f t="shared" si="13"/>
        <v>22657600</v>
      </c>
    </row>
    <row r="24" spans="1:11">
      <c r="G24">
        <f t="shared" ref="G24:K24" si="14">G12^2</f>
        <v>8008900</v>
      </c>
      <c r="H24">
        <f t="shared" si="14"/>
        <v>1123600</v>
      </c>
      <c r="I24">
        <f t="shared" si="14"/>
        <v>115600</v>
      </c>
      <c r="J24">
        <f t="shared" si="14"/>
        <v>4579600</v>
      </c>
      <c r="K24">
        <f t="shared" si="14"/>
        <v>28196100</v>
      </c>
    </row>
    <row r="25" spans="1:11">
      <c r="A25" t="s">
        <v>44</v>
      </c>
      <c r="B25" t="s">
        <v>44</v>
      </c>
      <c r="C25" t="s">
        <v>45</v>
      </c>
      <c r="G25">
        <f t="shared" ref="G25:K25" si="15">G13^2</f>
        <v>4161600</v>
      </c>
      <c r="H25">
        <f t="shared" si="15"/>
        <v>1020100</v>
      </c>
      <c r="I25">
        <f t="shared" si="15"/>
        <v>184900</v>
      </c>
      <c r="J25">
        <f t="shared" si="15"/>
        <v>5152900</v>
      </c>
      <c r="K25">
        <f t="shared" si="15"/>
        <v>39816100</v>
      </c>
    </row>
    <row r="26" spans="1:11">
      <c r="A26" t="s">
        <v>53</v>
      </c>
      <c r="B26">
        <v>500</v>
      </c>
      <c r="C26">
        <v>1</v>
      </c>
    </row>
    <row r="27" spans="1:11">
      <c r="A27" t="s">
        <v>54</v>
      </c>
      <c r="B27">
        <v>1500</v>
      </c>
      <c r="C27">
        <v>2</v>
      </c>
      <c r="G27" t="s">
        <v>48</v>
      </c>
      <c r="H27">
        <f>SUM(G16:K25)</f>
        <v>385418800</v>
      </c>
    </row>
    <row r="28" spans="1:11">
      <c r="A28" t="s">
        <v>55</v>
      </c>
      <c r="B28">
        <v>2500</v>
      </c>
      <c r="C28">
        <v>2</v>
      </c>
      <c r="G28" t="s">
        <v>49</v>
      </c>
      <c r="H28">
        <f>COUNT(G16:K25)-1</f>
        <v>49</v>
      </c>
    </row>
    <row r="29" spans="1:11">
      <c r="A29" t="s">
        <v>56</v>
      </c>
      <c r="B29">
        <v>3500</v>
      </c>
      <c r="C29">
        <v>4</v>
      </c>
      <c r="G29" t="s">
        <v>50</v>
      </c>
      <c r="H29">
        <f>H27/H28</f>
        <v>7865689.7959183678</v>
      </c>
    </row>
    <row r="30" spans="1:11">
      <c r="A30" t="s">
        <v>57</v>
      </c>
      <c r="B30">
        <v>4500</v>
      </c>
      <c r="C30">
        <v>5</v>
      </c>
      <c r="G30" t="s">
        <v>51</v>
      </c>
      <c r="H30">
        <f>SQRT(H29)</f>
        <v>2804.5837116974003</v>
      </c>
    </row>
    <row r="31" spans="1:11">
      <c r="A31" t="s">
        <v>58</v>
      </c>
      <c r="B31">
        <v>5500</v>
      </c>
      <c r="C31">
        <v>7</v>
      </c>
    </row>
    <row r="32" spans="1:11">
      <c r="A32" t="s">
        <v>59</v>
      </c>
      <c r="B32">
        <v>6500</v>
      </c>
      <c r="C32">
        <v>8</v>
      </c>
    </row>
    <row r="33" spans="1:3">
      <c r="A33" t="s">
        <v>60</v>
      </c>
      <c r="B33">
        <v>7500</v>
      </c>
      <c r="C33">
        <v>6</v>
      </c>
    </row>
    <row r="34" spans="1:3">
      <c r="A34" t="s">
        <v>61</v>
      </c>
      <c r="B34">
        <v>8500</v>
      </c>
      <c r="C34">
        <v>5</v>
      </c>
    </row>
    <row r="35" spans="1:3">
      <c r="A35" t="s">
        <v>62</v>
      </c>
      <c r="B35">
        <v>9500</v>
      </c>
      <c r="C35">
        <v>4</v>
      </c>
    </row>
    <row r="36" spans="1:3">
      <c r="A36" t="s">
        <v>63</v>
      </c>
      <c r="B36">
        <v>10500</v>
      </c>
      <c r="C36">
        <v>3</v>
      </c>
    </row>
    <row r="37" spans="1:3">
      <c r="A37" t="s">
        <v>64</v>
      </c>
      <c r="B37">
        <v>11500</v>
      </c>
      <c r="C37">
        <v>2</v>
      </c>
    </row>
    <row r="38" spans="1:3">
      <c r="A38" t="s">
        <v>65</v>
      </c>
      <c r="B38">
        <v>12500</v>
      </c>
      <c r="C38">
        <v>1</v>
      </c>
    </row>
  </sheetData>
  <mergeCells count="1">
    <mergeCell ref="A1:F1"/>
  </mergeCells>
  <phoneticPr fontId="1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view="pageLayout" topLeftCell="A9" zoomScale="150" workbookViewId="0">
      <selection activeCell="D36" sqref="D36"/>
    </sheetView>
  </sheetViews>
  <sheetFormatPr baseColWidth="10" defaultRowHeight="13" x14ac:dyDescent="0"/>
  <cols>
    <col min="2" max="2" width="9.85546875" customWidth="1"/>
    <col min="3" max="3" width="12.85546875" bestFit="1" customWidth="1"/>
    <col min="5" max="5" width="12.85546875" bestFit="1" customWidth="1"/>
  </cols>
  <sheetData>
    <row r="1" spans="1:6" ht="41" customHeight="1">
      <c r="A1" s="11" t="s">
        <v>7</v>
      </c>
      <c r="B1" s="11"/>
      <c r="C1" s="11"/>
      <c r="D1" s="11"/>
      <c r="E1" s="11"/>
      <c r="F1" s="11"/>
    </row>
    <row r="2" spans="1:6">
      <c r="A2" t="s">
        <v>8</v>
      </c>
      <c r="B2" t="s">
        <v>9</v>
      </c>
    </row>
    <row r="3" spans="1:6">
      <c r="A3" t="s">
        <v>10</v>
      </c>
      <c r="B3" s="3">
        <v>38734</v>
      </c>
    </row>
    <row r="5" spans="1:6">
      <c r="A5" t="s">
        <v>11</v>
      </c>
    </row>
    <row r="6" spans="1:6">
      <c r="C6" s="12" t="s">
        <v>14</v>
      </c>
      <c r="D6" s="12"/>
      <c r="E6" s="12" t="s">
        <v>15</v>
      </c>
      <c r="F6" s="12"/>
    </row>
    <row r="7" spans="1:6" ht="26" customHeight="1">
      <c r="A7" s="5" t="s">
        <v>12</v>
      </c>
      <c r="B7" s="8" t="s">
        <v>13</v>
      </c>
      <c r="C7" s="5" t="s">
        <v>16</v>
      </c>
      <c r="D7" s="5" t="s">
        <v>17</v>
      </c>
      <c r="E7" s="5" t="s">
        <v>16</v>
      </c>
      <c r="F7" s="5" t="s">
        <v>18</v>
      </c>
    </row>
    <row r="8" spans="1:6" ht="15">
      <c r="A8" s="5" t="s">
        <v>19</v>
      </c>
      <c r="B8" s="6">
        <v>0</v>
      </c>
      <c r="C8" s="6">
        <v>0</v>
      </c>
      <c r="D8" s="7"/>
      <c r="E8" s="6">
        <v>0.1</v>
      </c>
      <c r="F8" s="7"/>
    </row>
    <row r="9" spans="1:6" ht="15">
      <c r="A9" s="5" t="s">
        <v>20</v>
      </c>
      <c r="B9" s="6">
        <v>0.1</v>
      </c>
      <c r="C9" s="6">
        <v>0</v>
      </c>
      <c r="D9" s="7"/>
      <c r="E9" s="6">
        <v>0</v>
      </c>
      <c r="F9" s="7"/>
    </row>
    <row r="10" spans="1:6" ht="15">
      <c r="A10" s="5" t="s">
        <v>21</v>
      </c>
      <c r="B10" s="6">
        <v>0.3</v>
      </c>
      <c r="C10" s="6">
        <v>0.3</v>
      </c>
      <c r="D10" s="7"/>
      <c r="E10" s="6">
        <v>0.3</v>
      </c>
      <c r="F10" s="7"/>
    </row>
    <row r="11" spans="1:6" ht="15">
      <c r="A11" s="5" t="s">
        <v>22</v>
      </c>
      <c r="B11" s="6">
        <v>0.6</v>
      </c>
      <c r="C11" s="6">
        <v>0.9</v>
      </c>
      <c r="D11" s="7"/>
      <c r="E11" s="6">
        <v>0.5</v>
      </c>
      <c r="F11" s="7"/>
    </row>
    <row r="12" spans="1:6" ht="15">
      <c r="A12" s="5" t="s">
        <v>23</v>
      </c>
      <c r="B12" s="6">
        <v>0.5</v>
      </c>
      <c r="C12" s="6">
        <v>0.7</v>
      </c>
      <c r="D12" s="7"/>
      <c r="E12" s="6">
        <v>0.8</v>
      </c>
      <c r="F12" s="7"/>
    </row>
    <row r="13" spans="1:6" ht="15">
      <c r="A13" s="5" t="s">
        <v>24</v>
      </c>
      <c r="B13" s="6">
        <v>0.4</v>
      </c>
      <c r="C13" s="6">
        <v>0.5</v>
      </c>
      <c r="D13" s="7"/>
      <c r="E13" s="6">
        <v>0.4</v>
      </c>
      <c r="F13" s="7"/>
    </row>
    <row r="14" spans="1:6" ht="15">
      <c r="A14" s="5" t="s">
        <v>25</v>
      </c>
      <c r="B14" s="6">
        <v>0.3</v>
      </c>
      <c r="C14" s="6">
        <v>0.3</v>
      </c>
      <c r="D14" s="7"/>
      <c r="E14" s="6">
        <v>0.2</v>
      </c>
      <c r="F14" s="7"/>
    </row>
    <row r="15" spans="1:6" ht="15">
      <c r="A15" s="5" t="s">
        <v>26</v>
      </c>
      <c r="B15" s="6">
        <v>0.2</v>
      </c>
      <c r="C15" s="6">
        <v>0.1</v>
      </c>
      <c r="D15" s="7"/>
      <c r="E15" s="6">
        <v>0.1</v>
      </c>
      <c r="F15" s="7"/>
    </row>
    <row r="16" spans="1:6" ht="15">
      <c r="A16" s="5" t="s">
        <v>27</v>
      </c>
      <c r="B16" s="6">
        <v>0.1</v>
      </c>
      <c r="C16" s="6">
        <v>0</v>
      </c>
      <c r="D16" s="7"/>
      <c r="E16" s="6">
        <v>0.1</v>
      </c>
      <c r="F16" s="7"/>
    </row>
    <row r="17" spans="1:6" ht="15">
      <c r="A17" s="5" t="s">
        <v>28</v>
      </c>
      <c r="B17" s="6">
        <v>0.2</v>
      </c>
      <c r="C17" s="6">
        <v>0.1</v>
      </c>
      <c r="D17" s="7"/>
      <c r="E17" s="6">
        <v>0.1</v>
      </c>
      <c r="F17" s="7"/>
    </row>
    <row r="18" spans="1:6" ht="15">
      <c r="A18" s="5" t="s">
        <v>29</v>
      </c>
      <c r="B18" s="6">
        <v>0.2</v>
      </c>
      <c r="C18" s="6">
        <v>0.1</v>
      </c>
      <c r="D18" s="7"/>
      <c r="E18" s="6">
        <v>0.1</v>
      </c>
      <c r="F18" s="7"/>
    </row>
    <row r="19" spans="1:6" ht="15">
      <c r="A19" s="5" t="s">
        <v>30</v>
      </c>
      <c r="B19" s="6">
        <v>0.1</v>
      </c>
      <c r="C19" s="6">
        <v>0</v>
      </c>
      <c r="D19" s="7"/>
      <c r="E19" s="6">
        <v>0.3</v>
      </c>
      <c r="F19" s="7"/>
    </row>
    <row r="20" spans="1:6" ht="15">
      <c r="A20" s="5" t="s">
        <v>34</v>
      </c>
      <c r="B20" s="7"/>
      <c r="C20" s="7"/>
      <c r="D20" s="7"/>
      <c r="E20" s="7"/>
      <c r="F20" s="7"/>
    </row>
    <row r="22" spans="1:6">
      <c r="A22" s="9" t="s">
        <v>35</v>
      </c>
    </row>
    <row r="23" spans="1:6">
      <c r="A23">
        <v>1</v>
      </c>
      <c r="B23" t="s">
        <v>36</v>
      </c>
    </row>
    <row r="24" spans="1:6">
      <c r="A24">
        <v>2</v>
      </c>
      <c r="B24" t="s">
        <v>38</v>
      </c>
    </row>
    <row r="25" spans="1:6">
      <c r="A25">
        <v>2</v>
      </c>
      <c r="B25" t="s">
        <v>37</v>
      </c>
    </row>
    <row r="26" spans="1:6" ht="28" customHeight="1">
      <c r="A26" s="15">
        <v>3</v>
      </c>
      <c r="B26" s="14" t="s">
        <v>39</v>
      </c>
      <c r="C26" s="14"/>
      <c r="D26" s="14"/>
      <c r="E26" s="14"/>
      <c r="F26" s="14"/>
    </row>
  </sheetData>
  <mergeCells count="4">
    <mergeCell ref="A1:F1"/>
    <mergeCell ref="C6:D6"/>
    <mergeCell ref="E6:F6"/>
    <mergeCell ref="B26:F26"/>
  </mergeCells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view="pageLayout" workbookViewId="0">
      <selection activeCell="B39" sqref="B39:B40"/>
    </sheetView>
  </sheetViews>
  <sheetFormatPr baseColWidth="10" defaultRowHeight="13" x14ac:dyDescent="0"/>
  <cols>
    <col min="2" max="2" width="16.140625" bestFit="1" customWidth="1"/>
  </cols>
  <sheetData>
    <row r="1" spans="1:6" ht="30" customHeight="1">
      <c r="A1" s="13" t="s">
        <v>31</v>
      </c>
      <c r="B1" s="13"/>
      <c r="C1" s="13"/>
      <c r="D1" s="13"/>
      <c r="E1" s="13"/>
      <c r="F1" s="13"/>
    </row>
    <row r="2" spans="1:6">
      <c r="A2" t="s">
        <v>8</v>
      </c>
      <c r="B2" t="s">
        <v>32</v>
      </c>
    </row>
    <row r="3" spans="1:6">
      <c r="A3" t="s">
        <v>10</v>
      </c>
      <c r="B3" s="3">
        <v>38734</v>
      </c>
    </row>
    <row r="5" spans="1:6">
      <c r="A5" t="s">
        <v>33</v>
      </c>
    </row>
    <row r="6" spans="1:6">
      <c r="A6" t="s">
        <v>0</v>
      </c>
    </row>
    <row r="7" spans="1:6" ht="26">
      <c r="A7" s="1" t="s">
        <v>12</v>
      </c>
      <c r="B7" s="4" t="s">
        <v>1</v>
      </c>
    </row>
    <row r="8" spans="1:6">
      <c r="A8" s="1" t="s">
        <v>19</v>
      </c>
      <c r="B8" s="1">
        <v>2.9000000000000001E-2</v>
      </c>
    </row>
    <row r="9" spans="1:6">
      <c r="A9" s="1" t="s">
        <v>20</v>
      </c>
      <c r="B9" s="1">
        <v>0.02</v>
      </c>
    </row>
    <row r="10" spans="1:6">
      <c r="A10" s="1" t="s">
        <v>21</v>
      </c>
      <c r="B10" s="1">
        <v>0</v>
      </c>
    </row>
    <row r="11" spans="1:6">
      <c r="A11" s="1" t="s">
        <v>22</v>
      </c>
      <c r="B11" s="1">
        <v>8.0000000000000002E-3</v>
      </c>
    </row>
    <row r="12" spans="1:6">
      <c r="A12" s="1" t="s">
        <v>23</v>
      </c>
      <c r="B12" s="1">
        <v>0</v>
      </c>
    </row>
    <row r="13" spans="1:6">
      <c r="A13" s="1" t="s">
        <v>24</v>
      </c>
      <c r="B13" s="1">
        <v>0</v>
      </c>
    </row>
    <row r="14" spans="1:6">
      <c r="A14" s="1" t="s">
        <v>25</v>
      </c>
      <c r="B14" s="1">
        <v>5.0000000000000001E-3</v>
      </c>
    </row>
    <row r="15" spans="1:6">
      <c r="A15" s="1" t="s">
        <v>26</v>
      </c>
      <c r="B15" s="1">
        <v>4.4999999999999998E-2</v>
      </c>
    </row>
    <row r="16" spans="1:6">
      <c r="A16" s="1" t="s">
        <v>27</v>
      </c>
      <c r="B16" s="1">
        <v>1.4999999999999999E-2</v>
      </c>
    </row>
    <row r="17" spans="1:3">
      <c r="A17" s="1" t="s">
        <v>28</v>
      </c>
      <c r="B17" s="1">
        <v>2E-3</v>
      </c>
    </row>
    <row r="18" spans="1:3">
      <c r="A18" s="1" t="s">
        <v>29</v>
      </c>
      <c r="B18" s="1">
        <v>2E-3</v>
      </c>
    </row>
    <row r="19" spans="1:3">
      <c r="A19" s="1" t="s">
        <v>30</v>
      </c>
      <c r="B19" s="1">
        <v>2.7E-2</v>
      </c>
    </row>
    <row r="20" spans="1:3">
      <c r="A20" s="17" t="s">
        <v>34</v>
      </c>
      <c r="B20" s="18">
        <f>AVERAGE(B8:B19)</f>
        <v>1.2749999999999999E-2</v>
      </c>
    </row>
    <row r="22" spans="1:3">
      <c r="A22" s="2" t="s">
        <v>68</v>
      </c>
      <c r="C22" t="s">
        <v>45</v>
      </c>
    </row>
    <row r="23" spans="1:3">
      <c r="A23">
        <v>1</v>
      </c>
      <c r="B23" s="5">
        <v>0</v>
      </c>
    </row>
    <row r="24" spans="1:3">
      <c r="A24">
        <v>2</v>
      </c>
      <c r="B24" s="5">
        <v>0</v>
      </c>
    </row>
    <row r="25" spans="1:3">
      <c r="A25">
        <v>3</v>
      </c>
      <c r="B25" s="5">
        <v>0</v>
      </c>
      <c r="C25" s="5">
        <v>3</v>
      </c>
    </row>
    <row r="26" spans="1:3">
      <c r="A26">
        <v>4</v>
      </c>
      <c r="B26" s="5">
        <v>2E-3</v>
      </c>
    </row>
    <row r="27" spans="1:3">
      <c r="A27">
        <v>5</v>
      </c>
      <c r="B27" s="5">
        <v>2E-3</v>
      </c>
      <c r="C27" s="5">
        <v>2</v>
      </c>
    </row>
    <row r="28" spans="1:3">
      <c r="A28" s="16">
        <v>6</v>
      </c>
      <c r="B28" s="5">
        <v>5.0000000000000001E-3</v>
      </c>
      <c r="C28" s="5">
        <v>1</v>
      </c>
    </row>
    <row r="29" spans="1:3">
      <c r="A29" s="16">
        <v>7</v>
      </c>
      <c r="B29" s="5">
        <v>8.0000000000000002E-3</v>
      </c>
      <c r="C29" s="5">
        <v>1</v>
      </c>
    </row>
    <row r="30" spans="1:3">
      <c r="A30">
        <v>8</v>
      </c>
      <c r="B30" s="5">
        <v>1.4999999999999999E-2</v>
      </c>
      <c r="C30" s="5">
        <v>1</v>
      </c>
    </row>
    <row r="31" spans="1:3">
      <c r="A31">
        <v>9</v>
      </c>
      <c r="B31" s="5">
        <v>0.02</v>
      </c>
      <c r="C31" s="5">
        <v>1</v>
      </c>
    </row>
    <row r="32" spans="1:3">
      <c r="A32">
        <v>10</v>
      </c>
      <c r="B32" s="5">
        <v>2.7E-2</v>
      </c>
      <c r="C32" s="5">
        <v>1</v>
      </c>
    </row>
    <row r="33" spans="1:3">
      <c r="A33">
        <v>11</v>
      </c>
      <c r="B33" s="5">
        <v>2.9000000000000001E-2</v>
      </c>
      <c r="C33" s="5">
        <v>1</v>
      </c>
    </row>
    <row r="34" spans="1:3">
      <c r="A34">
        <v>12</v>
      </c>
      <c r="B34" s="5">
        <v>4.4999999999999998E-2</v>
      </c>
      <c r="C34" s="5">
        <v>1</v>
      </c>
    </row>
    <row r="36" spans="1:3">
      <c r="A36" t="s">
        <v>41</v>
      </c>
      <c r="B36">
        <f>AVERAGE(B28:B29)</f>
        <v>6.5000000000000006E-3</v>
      </c>
    </row>
    <row r="37" spans="1:3">
      <c r="A37" t="s">
        <v>69</v>
      </c>
      <c r="B37" s="5">
        <v>0</v>
      </c>
    </row>
    <row r="39" spans="1:3">
      <c r="A39" t="s">
        <v>50</v>
      </c>
      <c r="B39" s="19">
        <f>_xlfn.VAR.S(B8:B19)</f>
        <v>2.1511363636363639E-4</v>
      </c>
    </row>
    <row r="40" spans="1:3">
      <c r="A40" t="s">
        <v>70</v>
      </c>
      <c r="B40" s="19">
        <f>_xlfn.STDEV.S(B8:B19)</f>
        <v>1.4666752754568285E-2</v>
      </c>
    </row>
  </sheetData>
  <sortState ref="A8:B19">
    <sortCondition descending="1" ref="B9:B19"/>
  </sortState>
  <mergeCells count="1">
    <mergeCell ref="A1:F1"/>
  </mergeCells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 1.3-blank</vt:lpstr>
      <vt:lpstr>Example 1.3-answers</vt:lpstr>
      <vt:lpstr>Example 1.1</vt:lpstr>
      <vt:lpstr>Example 1.2</vt:lpstr>
    </vt:vector>
  </TitlesOfParts>
  <Company>Oglala Lakota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Jason Tinant</dc:creator>
  <cp:lastModifiedBy>Charles Jason Tinant</cp:lastModifiedBy>
  <dcterms:created xsi:type="dcterms:W3CDTF">2010-01-18T22:00:10Z</dcterms:created>
  <dcterms:modified xsi:type="dcterms:W3CDTF">2012-01-30T21:27:28Z</dcterms:modified>
</cp:coreProperties>
</file>