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P44" i="1" l="1"/>
  <c r="P36" i="1"/>
  <c r="P37" i="1"/>
  <c r="P38" i="1"/>
  <c r="P39" i="1"/>
  <c r="P40" i="1"/>
  <c r="P41" i="1"/>
  <c r="P42" i="1"/>
  <c r="P43" i="1"/>
  <c r="P35" i="1"/>
  <c r="P14" i="1"/>
  <c r="P7" i="1"/>
  <c r="P8" i="1"/>
  <c r="P24" i="1" s="1"/>
  <c r="P9" i="1"/>
  <c r="P25" i="1" s="1"/>
  <c r="P10" i="1"/>
  <c r="P26" i="1" s="1"/>
  <c r="P11" i="1"/>
  <c r="P27" i="1" s="1"/>
  <c r="P12" i="1"/>
  <c r="P28" i="1" s="1"/>
  <c r="P13" i="1"/>
  <c r="P29" i="1" s="1"/>
  <c r="P6" i="1"/>
  <c r="P22" i="1" s="1"/>
  <c r="P5" i="1"/>
  <c r="P21" i="1" s="1"/>
  <c r="P23" i="1" l="1"/>
  <c r="B32" i="1"/>
  <c r="B18" i="1"/>
  <c r="O14" i="1" l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O13" i="1"/>
  <c r="O29" i="1" s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12" i="1"/>
  <c r="O28" i="1" s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11" i="1"/>
  <c r="O27" i="1" s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O26" i="1" s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O25" i="1" s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O24" i="1" s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O23" i="1" s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O22" i="1" s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O21" i="1" s="1"/>
  <c r="N5" i="1"/>
  <c r="M5" i="1"/>
  <c r="L5" i="1"/>
  <c r="K5" i="1"/>
  <c r="J5" i="1"/>
  <c r="I5" i="1"/>
  <c r="H5" i="1"/>
  <c r="G5" i="1"/>
  <c r="F5" i="1"/>
  <c r="E5" i="1"/>
  <c r="D5" i="1"/>
  <c r="C5" i="1"/>
  <c r="B5" i="1"/>
  <c r="N29" i="1" l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O44" i="1" l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<sst xmlns="http://schemas.openxmlformats.org/spreadsheetml/2006/main" count="101" uniqueCount="41">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</sst>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/>
    <xf numFmtId="0" fontId="17" fillId="0" borderId="26" xfId="45" applyFont="1" applyBorder="1" applyAlignment="1">
      <alignment horizontal="center" vertical="center"/>
    </xf>
    <xf numFmtId="164" fontId="25" fillId="0" borderId="18" xfId="1" applyNumberFormat="1" applyFont="1" applyBorder="1" applyAlignment="1" applyProtection="1">
      <alignment horizontal="center" vertical="center"/>
    </xf>
    <xf numFmtId="164" fontId="25" fillId="0" borderId="23" xfId="1" applyNumberFormat="1" applyFont="1" applyBorder="1" applyAlignment="1" applyProtection="1">
      <alignment horizontal="center" vertical="center"/>
    </xf>
    <xf numFmtId="165" fontId="25" fillId="0" borderId="23" xfId="1" applyNumberFormat="1" applyFont="1" applyBorder="1" applyAlignment="1" applyProtection="1">
      <alignment horizontal="center" vertical="center"/>
    </xf>
    <xf numFmtId="0" fontId="17" fillId="0" borderId="37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7" xfId="47" applyFont="1" applyBorder="1" applyAlignment="1" applyProtection="1"/>
    <xf numFmtId="0" fontId="27" fillId="0" borderId="28" xfId="47" applyFont="1" applyBorder="1" applyAlignment="1" applyProtection="1"/>
    <xf numFmtId="0" fontId="27" fillId="0" borderId="39" xfId="47" applyFont="1" applyBorder="1" applyAlignment="1" applyProtection="1"/>
    <xf numFmtId="0" fontId="27" fillId="0" borderId="12" xfId="47" applyFont="1" applyFill="1" applyBorder="1" applyAlignment="1" applyProtection="1"/>
    <xf numFmtId="0" fontId="29" fillId="0" borderId="0" xfId="0" applyFont="1" applyAlignment="1">
      <alignment vertical="center"/>
    </xf>
    <xf numFmtId="0" fontId="27" fillId="0" borderId="43" xfId="47" applyFont="1" applyBorder="1" applyAlignment="1" applyProtection="1"/>
    <xf numFmtId="0" fontId="27" fillId="0" borderId="26" xfId="47" applyFont="1" applyBorder="1" applyAlignment="1" applyProtection="1"/>
    <xf numFmtId="0" fontId="31" fillId="0" borderId="26" xfId="47" applyFont="1" applyBorder="1" applyAlignment="1" applyProtection="1">
      <alignment horizontal="center" vertical="center"/>
    </xf>
    <xf numFmtId="164" fontId="25" fillId="0" borderId="42" xfId="1" applyNumberFormat="1" applyFont="1" applyBorder="1" applyAlignment="1" applyProtection="1">
      <alignment horizontal="center" vertical="center"/>
    </xf>
    <xf numFmtId="164" fontId="25" fillId="0" borderId="16" xfId="1" applyNumberFormat="1" applyFont="1" applyBorder="1" applyAlignment="1" applyProtection="1">
      <alignment horizontal="center" vertical="center"/>
    </xf>
    <xf numFmtId="164" fontId="25" fillId="0" borderId="17" xfId="1" applyNumberFormat="1" applyFont="1" applyBorder="1" applyAlignment="1" applyProtection="1">
      <alignment horizontal="center" vertical="center"/>
    </xf>
    <xf numFmtId="164" fontId="25" fillId="0" borderId="22" xfId="1" applyNumberFormat="1" applyFont="1" applyBorder="1" applyAlignment="1" applyProtection="1">
      <alignment horizontal="center" vertical="center"/>
    </xf>
    <xf numFmtId="164" fontId="25" fillId="0" borderId="21" xfId="1" applyNumberFormat="1" applyFont="1" applyBorder="1" applyAlignment="1" applyProtection="1">
      <alignment horizontal="center" vertical="center"/>
    </xf>
    <xf numFmtId="164" fontId="25" fillId="0" borderId="45" xfId="1" applyNumberFormat="1" applyFont="1" applyBorder="1" applyAlignment="1" applyProtection="1">
      <alignment horizontal="center" vertical="center"/>
    </xf>
    <xf numFmtId="164" fontId="25" fillId="0" borderId="15" xfId="1" applyNumberFormat="1" applyFont="1" applyBorder="1" applyAlignment="1" applyProtection="1">
      <alignment horizontal="center" vertical="center"/>
    </xf>
    <xf numFmtId="164" fontId="25" fillId="0" borderId="47" xfId="1" applyNumberFormat="1" applyFont="1" applyBorder="1" applyAlignment="1" applyProtection="1">
      <alignment horizontal="center" vertical="center"/>
    </xf>
    <xf numFmtId="164" fontId="25" fillId="0" borderId="32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7" fillId="0" borderId="59" xfId="1" applyNumberFormat="1" applyFont="1" applyBorder="1" applyAlignment="1" applyProtection="1">
      <alignment horizontal="center" vertical="center"/>
    </xf>
    <xf numFmtId="164" fontId="27" fillId="0" borderId="56" xfId="1" applyNumberFormat="1" applyFont="1" applyBorder="1" applyAlignment="1" applyProtection="1">
      <alignment horizontal="center" vertical="center"/>
    </xf>
    <xf numFmtId="164" fontId="27" fillId="0" borderId="57" xfId="1" applyNumberFormat="1" applyFont="1" applyBorder="1" applyAlignment="1" applyProtection="1">
      <alignment horizontal="center" vertical="center"/>
    </xf>
    <xf numFmtId="164" fontId="27" fillId="0" borderId="58" xfId="1" applyNumberFormat="1" applyFont="1" applyBorder="1" applyAlignment="1" applyProtection="1">
      <alignment horizontal="center" vertical="center"/>
    </xf>
    <xf numFmtId="164" fontId="27" fillId="0" borderId="60" xfId="1" applyNumberFormat="1" applyFont="1" applyBorder="1" applyAlignment="1" applyProtection="1">
      <alignment horizontal="center" vertical="center"/>
    </xf>
    <xf numFmtId="165" fontId="25" fillId="0" borderId="42" xfId="1" applyNumberFormat="1" applyFont="1" applyBorder="1" applyAlignment="1" applyProtection="1">
      <alignment horizontal="center" vertical="center"/>
    </xf>
    <xf numFmtId="165" fontId="25" fillId="0" borderId="20" xfId="1" applyNumberFormat="1" applyFont="1" applyBorder="1" applyAlignment="1" applyProtection="1">
      <alignment horizontal="center" vertical="center"/>
    </xf>
    <xf numFmtId="165" fontId="25" fillId="0" borderId="19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44" xfId="1" applyNumberFormat="1" applyFont="1" applyBorder="1" applyAlignment="1" applyProtection="1">
      <alignment horizontal="center" vertical="center"/>
    </xf>
    <xf numFmtId="165" fontId="25" fillId="0" borderId="22" xfId="1" applyNumberFormat="1" applyFont="1" applyBorder="1" applyAlignment="1" applyProtection="1">
      <alignment horizontal="center" vertical="center"/>
    </xf>
    <xf numFmtId="165" fontId="25" fillId="0" borderId="45" xfId="1" applyNumberFormat="1" applyFont="1" applyBorder="1" applyAlignment="1" applyProtection="1">
      <alignment horizontal="center" vertical="center"/>
    </xf>
    <xf numFmtId="165" fontId="25" fillId="0" borderId="46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165" fontId="25" fillId="0" borderId="47" xfId="1" applyNumberFormat="1" applyFont="1" applyBorder="1" applyAlignment="1" applyProtection="1">
      <alignment horizontal="center" vertical="center"/>
    </xf>
    <xf numFmtId="165" fontId="25" fillId="0" borderId="48" xfId="1" applyNumberFormat="1" applyFont="1" applyBorder="1" applyAlignment="1" applyProtection="1">
      <alignment horizontal="center" vertical="center"/>
    </xf>
    <xf numFmtId="0" fontId="24" fillId="33" borderId="61" xfId="45" applyFont="1" applyFill="1" applyBorder="1" applyAlignment="1">
      <alignment horizontal="center" vertical="center"/>
    </xf>
    <xf numFmtId="0" fontId="24" fillId="33" borderId="62" xfId="45" applyFont="1" applyFill="1" applyBorder="1" applyAlignment="1">
      <alignment horizontal="center" vertical="center"/>
    </xf>
    <xf numFmtId="0" fontId="24" fillId="33" borderId="63" xfId="45" applyFont="1" applyFill="1" applyBorder="1" applyAlignment="1">
      <alignment horizontal="center" vertical="center"/>
    </xf>
    <xf numFmtId="0" fontId="23" fillId="34" borderId="64" xfId="45" applyFont="1" applyFill="1" applyBorder="1" applyAlignment="1">
      <alignment horizontal="center" vertical="center"/>
    </xf>
    <xf numFmtId="0" fontId="23" fillId="34" borderId="62" xfId="45" applyFont="1" applyFill="1" applyBorder="1" applyAlignment="1">
      <alignment horizontal="center" vertical="center"/>
    </xf>
    <xf numFmtId="0" fontId="23" fillId="34" borderId="63" xfId="45" applyFont="1" applyFill="1" applyBorder="1" applyAlignment="1">
      <alignment horizontal="center" vertical="center"/>
    </xf>
    <xf numFmtId="0" fontId="24" fillId="33" borderId="64" xfId="45" applyFont="1" applyFill="1" applyBorder="1" applyAlignment="1">
      <alignment horizontal="center" vertical="center"/>
    </xf>
    <xf numFmtId="0" fontId="24" fillId="33" borderId="65" xfId="45" applyFont="1" applyFill="1" applyBorder="1" applyAlignment="1">
      <alignment horizontal="center" vertical="center"/>
    </xf>
    <xf numFmtId="0" fontId="23" fillId="34" borderId="61" xfId="45" applyFont="1" applyFill="1" applyBorder="1" applyAlignment="1">
      <alignment horizontal="center" vertical="center"/>
    </xf>
    <xf numFmtId="164" fontId="25" fillId="0" borderId="66" xfId="1" applyNumberFormat="1" applyFont="1" applyBorder="1" applyAlignment="1" applyProtection="1">
      <alignment horizontal="center" vertical="center"/>
    </xf>
    <xf numFmtId="9" fontId="25" fillId="0" borderId="42" xfId="1" applyNumberFormat="1" applyFont="1" applyBorder="1" applyAlignment="1" applyProtection="1">
      <alignment horizontal="center" vertical="center"/>
    </xf>
    <xf numFmtId="9" fontId="27" fillId="0" borderId="42" xfId="1" applyNumberFormat="1" applyFont="1" applyBorder="1" applyAlignment="1" applyProtection="1">
      <alignment horizontal="center" vertical="center"/>
    </xf>
    <xf numFmtId="0" fontId="24" fillId="33" borderId="41" xfId="45" applyFont="1" applyFill="1" applyBorder="1" applyAlignment="1">
      <alignment horizontal="center" vertical="center"/>
    </xf>
    <xf numFmtId="0" fontId="24" fillId="33" borderId="53" xfId="45" applyFont="1" applyFill="1" applyBorder="1" applyAlignment="1">
      <alignment horizontal="center" vertical="center"/>
    </xf>
    <xf numFmtId="0" fontId="24" fillId="33" borderId="40" xfId="45" applyFont="1" applyFill="1" applyBorder="1" applyAlignment="1">
      <alignment horizontal="center" vertical="center"/>
    </xf>
    <xf numFmtId="0" fontId="24" fillId="33" borderId="55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3" fillId="34" borderId="41" xfId="45" applyFont="1" applyFill="1" applyBorder="1" applyAlignment="1">
      <alignment horizontal="center" vertical="center"/>
    </xf>
    <xf numFmtId="0" fontId="23" fillId="34" borderId="53" xfId="45" applyFont="1" applyFill="1" applyBorder="1" applyAlignment="1">
      <alignment horizontal="center" vertical="center"/>
    </xf>
    <xf numFmtId="0" fontId="23" fillId="34" borderId="40" xfId="45" applyFont="1" applyFill="1" applyBorder="1" applyAlignment="1">
      <alignment horizontal="center" vertical="center"/>
    </xf>
    <xf numFmtId="0" fontId="23" fillId="34" borderId="55" xfId="45" applyFont="1" applyFill="1" applyBorder="1" applyAlignment="1">
      <alignment horizontal="center" vertical="center"/>
    </xf>
    <xf numFmtId="0" fontId="24" fillId="33" borderId="54" xfId="45" applyFont="1" applyFill="1" applyBorder="1" applyAlignment="1">
      <alignment horizontal="center" vertical="center"/>
    </xf>
    <xf numFmtId="0" fontId="20" fillId="35" borderId="25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24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9" xfId="45" applyFont="1" applyFill="1" applyBorder="1" applyAlignment="1">
      <alignment horizontal="center"/>
    </xf>
    <xf numFmtId="0" fontId="20" fillId="35" borderId="30" xfId="45" applyFont="1" applyFill="1" applyBorder="1" applyAlignment="1">
      <alignment horizontal="center"/>
    </xf>
    <xf numFmtId="0" fontId="20" fillId="35" borderId="31" xfId="45" applyFont="1" applyFill="1" applyBorder="1" applyAlignment="1">
      <alignment horizontal="center"/>
    </xf>
    <xf numFmtId="0" fontId="26" fillId="35" borderId="25" xfId="45" applyFont="1" applyFill="1" applyBorder="1" applyAlignment="1">
      <alignment horizontal="center"/>
    </xf>
    <xf numFmtId="0" fontId="26" fillId="35" borderId="0" xfId="45" applyFont="1" applyFill="1" applyBorder="1" applyAlignment="1">
      <alignment horizontal="center"/>
    </xf>
    <xf numFmtId="0" fontId="26" fillId="35" borderId="13" xfId="45" applyFont="1" applyFill="1" applyBorder="1" applyAlignment="1">
      <alignment horizontal="center"/>
    </xf>
    <xf numFmtId="0" fontId="26" fillId="35" borderId="14" xfId="45" applyFont="1" applyFill="1" applyBorder="1" applyAlignment="1">
      <alignment horizontal="center"/>
    </xf>
    <xf numFmtId="3" fontId="31" fillId="0" borderId="49" xfId="1" applyNumberFormat="1" applyFont="1" applyFill="1" applyBorder="1" applyAlignment="1" applyProtection="1">
      <alignment horizontal="center" vertical="center"/>
    </xf>
    <xf numFmtId="3" fontId="31" fillId="0" borderId="50" xfId="1" applyNumberFormat="1" applyFont="1" applyFill="1" applyBorder="1" applyAlignment="1" applyProtection="1">
      <alignment horizontal="center" vertical="center"/>
    </xf>
    <xf numFmtId="3" fontId="31" fillId="0" borderId="51" xfId="1" applyNumberFormat="1" applyFont="1" applyFill="1" applyBorder="1" applyAlignment="1" applyProtection="1">
      <alignment horizontal="center" vertical="center"/>
    </xf>
    <xf numFmtId="3" fontId="31" fillId="0" borderId="38" xfId="1" applyNumberFormat="1" applyFont="1" applyFill="1" applyBorder="1" applyAlignment="1" applyProtection="1">
      <alignment horizontal="center" vertical="center"/>
    </xf>
    <xf numFmtId="3" fontId="31" fillId="0" borderId="52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Online%20Virtual%20Service%20Area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1285</v>
          </cell>
          <cell r="C4">
            <v>1814</v>
          </cell>
          <cell r="D4">
            <v>1976</v>
          </cell>
          <cell r="E4">
            <v>1332</v>
          </cell>
          <cell r="F4">
            <v>2032</v>
          </cell>
          <cell r="G4">
            <v>2193</v>
          </cell>
          <cell r="H4">
            <v>474</v>
          </cell>
          <cell r="I4">
            <v>2270</v>
          </cell>
          <cell r="J4">
            <v>2212</v>
          </cell>
          <cell r="K4">
            <v>238</v>
          </cell>
          <cell r="L4">
            <v>2077</v>
          </cell>
          <cell r="M4">
            <v>1985</v>
          </cell>
          <cell r="N4">
            <v>0</v>
          </cell>
          <cell r="O4">
            <v>1800</v>
          </cell>
          <cell r="P4">
            <v>1909</v>
          </cell>
        </row>
        <row r="5">
          <cell r="A5" t="str">
            <v>Hispanic</v>
          </cell>
          <cell r="B5">
            <v>504</v>
          </cell>
          <cell r="C5">
            <v>648</v>
          </cell>
          <cell r="D5">
            <v>803</v>
          </cell>
          <cell r="E5">
            <v>581</v>
          </cell>
          <cell r="F5">
            <v>939</v>
          </cell>
          <cell r="G5">
            <v>922</v>
          </cell>
          <cell r="H5">
            <v>243</v>
          </cell>
          <cell r="I5">
            <v>991</v>
          </cell>
          <cell r="J5">
            <v>1065</v>
          </cell>
          <cell r="K5">
            <v>137</v>
          </cell>
          <cell r="L5">
            <v>1054</v>
          </cell>
          <cell r="M5">
            <v>1087</v>
          </cell>
          <cell r="N5">
            <v>0</v>
          </cell>
          <cell r="O5">
            <v>1104</v>
          </cell>
          <cell r="P5">
            <v>1257</v>
          </cell>
        </row>
        <row r="6">
          <cell r="A6" t="str">
            <v>African American</v>
          </cell>
          <cell r="B6">
            <v>161</v>
          </cell>
          <cell r="C6">
            <v>231</v>
          </cell>
          <cell r="D6">
            <v>252</v>
          </cell>
          <cell r="E6">
            <v>181</v>
          </cell>
          <cell r="F6">
            <v>290</v>
          </cell>
          <cell r="G6">
            <v>305</v>
          </cell>
          <cell r="H6">
            <v>88</v>
          </cell>
          <cell r="I6">
            <v>319</v>
          </cell>
          <cell r="J6">
            <v>377</v>
          </cell>
          <cell r="K6">
            <v>50</v>
          </cell>
          <cell r="L6">
            <v>312</v>
          </cell>
          <cell r="M6">
            <v>311</v>
          </cell>
          <cell r="N6">
            <v>0</v>
          </cell>
          <cell r="O6">
            <v>282</v>
          </cell>
          <cell r="P6">
            <v>340</v>
          </cell>
        </row>
        <row r="7">
          <cell r="A7" t="str">
            <v>Asian</v>
          </cell>
          <cell r="B7">
            <v>64</v>
          </cell>
          <cell r="C7">
            <v>74</v>
          </cell>
          <cell r="D7">
            <v>92</v>
          </cell>
          <cell r="E7">
            <v>81</v>
          </cell>
          <cell r="F7">
            <v>87</v>
          </cell>
          <cell r="G7">
            <v>102</v>
          </cell>
          <cell r="H7">
            <v>29</v>
          </cell>
          <cell r="I7">
            <v>100</v>
          </cell>
          <cell r="J7">
            <v>120</v>
          </cell>
          <cell r="K7">
            <v>18</v>
          </cell>
          <cell r="L7">
            <v>111</v>
          </cell>
          <cell r="M7">
            <v>119</v>
          </cell>
          <cell r="N7">
            <v>0</v>
          </cell>
          <cell r="O7">
            <v>93</v>
          </cell>
          <cell r="P7">
            <v>108</v>
          </cell>
        </row>
        <row r="8">
          <cell r="A8" t="str">
            <v>Native American</v>
          </cell>
          <cell r="B8">
            <v>20</v>
          </cell>
          <cell r="C8">
            <v>26</v>
          </cell>
          <cell r="D8">
            <v>44</v>
          </cell>
          <cell r="E8">
            <v>16</v>
          </cell>
          <cell r="F8">
            <v>50</v>
          </cell>
          <cell r="G8">
            <v>57</v>
          </cell>
          <cell r="H8">
            <v>20</v>
          </cell>
          <cell r="I8">
            <v>44</v>
          </cell>
          <cell r="J8">
            <v>49</v>
          </cell>
          <cell r="K8">
            <v>7</v>
          </cell>
          <cell r="L8">
            <v>44</v>
          </cell>
          <cell r="M8">
            <v>50</v>
          </cell>
          <cell r="N8">
            <v>0</v>
          </cell>
          <cell r="O8">
            <v>30</v>
          </cell>
          <cell r="P8">
            <v>37</v>
          </cell>
        </row>
        <row r="9">
          <cell r="A9" t="str">
            <v>Filipino</v>
          </cell>
          <cell r="B9">
            <v>76</v>
          </cell>
          <cell r="C9">
            <v>119</v>
          </cell>
          <cell r="D9">
            <v>129</v>
          </cell>
          <cell r="E9">
            <v>101</v>
          </cell>
          <cell r="F9">
            <v>125</v>
          </cell>
          <cell r="G9">
            <v>170</v>
          </cell>
          <cell r="H9">
            <v>34</v>
          </cell>
          <cell r="I9">
            <v>146</v>
          </cell>
          <cell r="J9">
            <v>151</v>
          </cell>
          <cell r="K9">
            <v>11</v>
          </cell>
          <cell r="L9">
            <v>127</v>
          </cell>
          <cell r="M9">
            <v>144</v>
          </cell>
          <cell r="N9">
            <v>0</v>
          </cell>
          <cell r="O9">
            <v>116</v>
          </cell>
          <cell r="P9">
            <v>120</v>
          </cell>
        </row>
        <row r="10">
          <cell r="A10" t="str">
            <v>Pacific Islander</v>
          </cell>
          <cell r="B10">
            <v>15</v>
          </cell>
          <cell r="C10">
            <v>18</v>
          </cell>
          <cell r="D10">
            <v>26</v>
          </cell>
          <cell r="E10">
            <v>15</v>
          </cell>
          <cell r="F10">
            <v>31</v>
          </cell>
          <cell r="G10">
            <v>26</v>
          </cell>
          <cell r="H10">
            <v>2</v>
          </cell>
          <cell r="I10">
            <v>32</v>
          </cell>
          <cell r="J10">
            <v>37</v>
          </cell>
          <cell r="K10">
            <v>4</v>
          </cell>
          <cell r="L10">
            <v>28</v>
          </cell>
          <cell r="M10">
            <v>26</v>
          </cell>
          <cell r="N10">
            <v>0</v>
          </cell>
          <cell r="O10">
            <v>20</v>
          </cell>
          <cell r="P10">
            <v>27</v>
          </cell>
        </row>
        <row r="11">
          <cell r="A11" t="str">
            <v>Multi-Race</v>
          </cell>
          <cell r="B11">
            <v>37</v>
          </cell>
          <cell r="C11">
            <v>63</v>
          </cell>
          <cell r="D11">
            <v>60</v>
          </cell>
          <cell r="E11">
            <v>36</v>
          </cell>
          <cell r="F11">
            <v>65</v>
          </cell>
          <cell r="G11">
            <v>51</v>
          </cell>
          <cell r="H11">
            <v>12</v>
          </cell>
          <cell r="I11">
            <v>74</v>
          </cell>
          <cell r="J11">
            <v>98</v>
          </cell>
          <cell r="K11">
            <v>16</v>
          </cell>
          <cell r="L11">
            <v>140</v>
          </cell>
          <cell r="M11">
            <v>148</v>
          </cell>
          <cell r="N11">
            <v>0</v>
          </cell>
          <cell r="O11">
            <v>150</v>
          </cell>
          <cell r="P11">
            <v>190</v>
          </cell>
        </row>
        <row r="12">
          <cell r="A12" t="str">
            <v>Unknown</v>
          </cell>
          <cell r="B12">
            <v>173</v>
          </cell>
          <cell r="C12">
            <v>239</v>
          </cell>
          <cell r="D12">
            <v>275</v>
          </cell>
          <cell r="E12">
            <v>210</v>
          </cell>
          <cell r="F12">
            <v>305</v>
          </cell>
          <cell r="G12">
            <v>351</v>
          </cell>
          <cell r="H12">
            <v>87</v>
          </cell>
          <cell r="I12">
            <v>351</v>
          </cell>
          <cell r="J12">
            <v>344</v>
          </cell>
          <cell r="K12">
            <v>37</v>
          </cell>
          <cell r="L12">
            <v>265</v>
          </cell>
          <cell r="M12">
            <v>255</v>
          </cell>
          <cell r="N12">
            <v>0</v>
          </cell>
          <cell r="O12">
            <v>194</v>
          </cell>
          <cell r="P12">
            <v>171</v>
          </cell>
        </row>
        <row r="13">
          <cell r="A13" t="str">
            <v>Term Total</v>
          </cell>
          <cell r="B13">
            <v>2335</v>
          </cell>
          <cell r="C13">
            <v>3232</v>
          </cell>
          <cell r="D13">
            <v>3657</v>
          </cell>
          <cell r="E13">
            <v>2553</v>
          </cell>
          <cell r="F13">
            <v>3924</v>
          </cell>
          <cell r="G13">
            <v>4177</v>
          </cell>
          <cell r="H13">
            <v>989</v>
          </cell>
          <cell r="I13">
            <v>4327</v>
          </cell>
          <cell r="J13">
            <v>4453</v>
          </cell>
          <cell r="K13">
            <v>518</v>
          </cell>
          <cell r="L13">
            <v>4158</v>
          </cell>
          <cell r="M13">
            <v>4125</v>
          </cell>
          <cell r="N13">
            <v>0</v>
          </cell>
          <cell r="O13">
            <v>3789</v>
          </cell>
          <cell r="P13">
            <v>4159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0.73534532791642482</v>
          </cell>
          <cell r="C4">
            <v>0.6156888595912986</v>
          </cell>
          <cell r="D4">
            <v>0.65194501316174325</v>
          </cell>
          <cell r="E4">
            <v>0.79763912310286678</v>
          </cell>
          <cell r="F4">
            <v>0.66129504834456487</v>
          </cell>
          <cell r="G4">
            <v>0.67527576002152279</v>
          </cell>
          <cell r="H4">
            <v>0.76276771004942334</v>
          </cell>
          <cell r="I4">
            <v>0.66326797385620917</v>
          </cell>
          <cell r="J4">
            <v>0.64610133893410349</v>
          </cell>
          <cell r="K4">
            <v>0.81052631578947365</v>
          </cell>
          <cell r="L4">
            <v>0.67768115942028984</v>
          </cell>
          <cell r="M4">
            <v>0.67250074161969742</v>
          </cell>
          <cell r="N4" t="str">
            <v/>
          </cell>
          <cell r="O4">
            <v>0.68433333333333335</v>
          </cell>
          <cell r="P4">
            <v>0.64702290076335878</v>
          </cell>
        </row>
        <row r="5">
          <cell r="A5" t="str">
            <v>Hispanic</v>
          </cell>
          <cell r="B5">
            <v>0.67804154302670627</v>
          </cell>
          <cell r="C5">
            <v>0.54315196998123827</v>
          </cell>
          <cell r="D5">
            <v>0.5470543228768171</v>
          </cell>
          <cell r="E5">
            <v>0.68831168831168832</v>
          </cell>
          <cell r="F5">
            <v>0.57066309444072338</v>
          </cell>
          <cell r="G5">
            <v>0.59617918313570484</v>
          </cell>
          <cell r="H5">
            <v>0.67218543046357615</v>
          </cell>
          <cell r="I5">
            <v>0.60237946149029431</v>
          </cell>
          <cell r="J5">
            <v>0.58077360637087605</v>
          </cell>
          <cell r="K5">
            <v>0.78395061728395066</v>
          </cell>
          <cell r="L5">
            <v>0.61428571428571432</v>
          </cell>
          <cell r="M5">
            <v>0.62606232294617559</v>
          </cell>
          <cell r="N5" t="str">
            <v/>
          </cell>
          <cell r="O5">
            <v>0.62647887323943663</v>
          </cell>
          <cell r="P5">
            <v>0.58711566617862376</v>
          </cell>
        </row>
        <row r="6">
          <cell r="A6" t="str">
            <v>African American</v>
          </cell>
          <cell r="B6">
            <v>0.51724137931034486</v>
          </cell>
          <cell r="C6">
            <v>0.42619047619047618</v>
          </cell>
          <cell r="D6">
            <v>0.43468950749464669</v>
          </cell>
          <cell r="E6">
            <v>0.62408759124087587</v>
          </cell>
          <cell r="F6">
            <v>0.44216417910447764</v>
          </cell>
          <cell r="G6">
            <v>0.41612903225806452</v>
          </cell>
          <cell r="H6">
            <v>0.7350427350427351</v>
          </cell>
          <cell r="I6">
            <v>0.51898734177215189</v>
          </cell>
          <cell r="J6">
            <v>0.44935805991440797</v>
          </cell>
          <cell r="K6">
            <v>0.69230769230769229</v>
          </cell>
          <cell r="L6">
            <v>0.50082918739635163</v>
          </cell>
          <cell r="M6">
            <v>0.50269299820466784</v>
          </cell>
          <cell r="N6" t="str">
            <v/>
          </cell>
          <cell r="O6">
            <v>0.47674418604651164</v>
          </cell>
          <cell r="P6">
            <v>0.4336569579288026</v>
          </cell>
        </row>
        <row r="7">
          <cell r="A7" t="str">
            <v>Asian</v>
          </cell>
          <cell r="B7">
            <v>0.8314606741573034</v>
          </cell>
          <cell r="C7">
            <v>0.68965517241379315</v>
          </cell>
          <cell r="D7">
            <v>0.67808219178082196</v>
          </cell>
          <cell r="E7">
            <v>0.80582524271844658</v>
          </cell>
          <cell r="F7">
            <v>0.71724137931034482</v>
          </cell>
          <cell r="G7">
            <v>0.69590643274853803</v>
          </cell>
          <cell r="H7">
            <v>0.82352941176470584</v>
          </cell>
          <cell r="I7">
            <v>0.72499999999999998</v>
          </cell>
          <cell r="J7">
            <v>0.64215686274509809</v>
          </cell>
          <cell r="K7">
            <v>0.90909090909090906</v>
          </cell>
          <cell r="L7">
            <v>0.73770491803278693</v>
          </cell>
          <cell r="M7">
            <v>0.80097087378640774</v>
          </cell>
          <cell r="N7" t="str">
            <v/>
          </cell>
          <cell r="O7">
            <v>0.7142857142857143</v>
          </cell>
          <cell r="P7">
            <v>0.67741935483870963</v>
          </cell>
        </row>
        <row r="8">
          <cell r="A8" t="str">
            <v>Native American</v>
          </cell>
          <cell r="B8">
            <v>0.42307692307692307</v>
          </cell>
          <cell r="C8">
            <v>0.61363636363636365</v>
          </cell>
          <cell r="D8">
            <v>0.60606060606060608</v>
          </cell>
          <cell r="E8">
            <v>0.73684210526315785</v>
          </cell>
          <cell r="F8">
            <v>0.66666666666666663</v>
          </cell>
          <cell r="G8">
            <v>0.63157894736842102</v>
          </cell>
          <cell r="H8">
            <v>0.73913043478260865</v>
          </cell>
          <cell r="I8">
            <v>0.57692307692307687</v>
          </cell>
          <cell r="J8">
            <v>0.65476190476190477</v>
          </cell>
          <cell r="K8">
            <v>0.77777777777777779</v>
          </cell>
          <cell r="L8">
            <v>0.61538461538461542</v>
          </cell>
          <cell r="M8">
            <v>0.59139784946236562</v>
          </cell>
          <cell r="N8" t="str">
            <v/>
          </cell>
          <cell r="O8">
            <v>0.57894736842105265</v>
          </cell>
          <cell r="P8">
            <v>0.42622950819672129</v>
          </cell>
        </row>
        <row r="9">
          <cell r="A9" t="str">
            <v>Filipino</v>
          </cell>
          <cell r="B9">
            <v>0.72972972972972971</v>
          </cell>
          <cell r="C9">
            <v>0.56382978723404253</v>
          </cell>
          <cell r="D9">
            <v>0.65957446808510634</v>
          </cell>
          <cell r="E9">
            <v>0.79136690647482011</v>
          </cell>
          <cell r="F9">
            <v>0.65420560747663548</v>
          </cell>
          <cell r="G9">
            <v>0.70631970260223054</v>
          </cell>
          <cell r="H9">
            <v>0.78048780487804881</v>
          </cell>
          <cell r="I9">
            <v>0.60888888888888892</v>
          </cell>
          <cell r="J9">
            <v>0.63306451612903225</v>
          </cell>
          <cell r="K9">
            <v>0.92307692307692313</v>
          </cell>
          <cell r="L9">
            <v>0.69902912621359226</v>
          </cell>
          <cell r="M9">
            <v>0.60851063829787233</v>
          </cell>
          <cell r="N9" t="str">
            <v/>
          </cell>
          <cell r="O9">
            <v>0.61111111111111116</v>
          </cell>
          <cell r="P9">
            <v>0.58064516129032262</v>
          </cell>
        </row>
        <row r="10">
          <cell r="A10" t="str">
            <v>Pacific Islander</v>
          </cell>
          <cell r="B10">
            <v>0.76190476190476186</v>
          </cell>
          <cell r="C10">
            <v>0.60606060606060608</v>
          </cell>
          <cell r="D10">
            <v>0.7142857142857143</v>
          </cell>
          <cell r="E10">
            <v>0.52173913043478259</v>
          </cell>
          <cell r="F10">
            <v>0.42592592592592593</v>
          </cell>
          <cell r="G10">
            <v>0.46666666666666667</v>
          </cell>
          <cell r="H10">
            <v>1</v>
          </cell>
          <cell r="I10">
            <v>0.61016949152542377</v>
          </cell>
          <cell r="J10">
            <v>0.52777777777777779</v>
          </cell>
          <cell r="K10">
            <v>0.5</v>
          </cell>
          <cell r="L10">
            <v>0.56097560975609762</v>
          </cell>
          <cell r="M10">
            <v>0.55319148936170215</v>
          </cell>
          <cell r="N10" t="str">
            <v/>
          </cell>
          <cell r="O10">
            <v>0.66666666666666663</v>
          </cell>
          <cell r="P10">
            <v>0.59523809523809523</v>
          </cell>
        </row>
        <row r="11">
          <cell r="A11" t="str">
            <v>Multi-Race</v>
          </cell>
          <cell r="B11">
            <v>0.64150943396226412</v>
          </cell>
          <cell r="C11">
            <v>0.63063063063063063</v>
          </cell>
          <cell r="D11">
            <v>0.50909090909090904</v>
          </cell>
          <cell r="E11">
            <v>0.70833333333333337</v>
          </cell>
          <cell r="F11">
            <v>0.45945945945945948</v>
          </cell>
          <cell r="G11">
            <v>0.5393258426966292</v>
          </cell>
          <cell r="H11">
            <v>0.5625</v>
          </cell>
          <cell r="I11">
            <v>0.53237410071942448</v>
          </cell>
          <cell r="J11">
            <v>0.53503184713375795</v>
          </cell>
          <cell r="K11">
            <v>0.61111111111111116</v>
          </cell>
          <cell r="L11">
            <v>0.5267857142857143</v>
          </cell>
          <cell r="M11">
            <v>0.51550387596899228</v>
          </cell>
          <cell r="N11" t="str">
            <v/>
          </cell>
          <cell r="O11">
            <v>0.61010830324909748</v>
          </cell>
          <cell r="P11">
            <v>0.546875</v>
          </cell>
        </row>
        <row r="12">
          <cell r="A12" t="str">
            <v>Unknown</v>
          </cell>
          <cell r="B12">
            <v>0.74248927038626611</v>
          </cell>
          <cell r="C12">
            <v>0.61818181818181817</v>
          </cell>
          <cell r="D12">
            <v>0.66247379454926625</v>
          </cell>
          <cell r="E12">
            <v>0.7436823104693141</v>
          </cell>
          <cell r="F12">
            <v>0.66795366795366795</v>
          </cell>
          <cell r="G12">
            <v>0.67012089810017272</v>
          </cell>
          <cell r="H12">
            <v>0.68518518518518523</v>
          </cell>
          <cell r="I12">
            <v>0.70668953687821612</v>
          </cell>
          <cell r="J12">
            <v>0.62541254125412538</v>
          </cell>
          <cell r="K12">
            <v>0.65909090909090906</v>
          </cell>
          <cell r="L12">
            <v>0.66589861751152069</v>
          </cell>
          <cell r="M12">
            <v>0.65356265356265353</v>
          </cell>
          <cell r="N12" t="str">
            <v/>
          </cell>
          <cell r="O12">
            <v>0.6887417218543046</v>
          </cell>
          <cell r="P12">
            <v>0.69259259259259254</v>
          </cell>
        </row>
        <row r="13">
          <cell r="A13" t="str">
            <v>Term Total</v>
          </cell>
          <cell r="B13">
            <v>0.7061986084756483</v>
          </cell>
          <cell r="C13">
            <v>0.58680748564017049</v>
          </cell>
          <cell r="D13">
            <v>0.61255028157683022</v>
          </cell>
          <cell r="E13">
            <v>0.75145687645687642</v>
          </cell>
          <cell r="F13">
            <v>0.61901859189271569</v>
          </cell>
          <cell r="G13">
            <v>0.63339920948616601</v>
          </cell>
          <cell r="H13">
            <v>0.73141486810551559</v>
          </cell>
          <cell r="I13">
            <v>0.63803850948884888</v>
          </cell>
          <cell r="J13">
            <v>0.60754025395994238</v>
          </cell>
          <cell r="K13">
            <v>0.77724358974358976</v>
          </cell>
          <cell r="L13">
            <v>0.64197709813016379</v>
          </cell>
          <cell r="M13">
            <v>0.63986165153480323</v>
          </cell>
          <cell r="N13" t="str">
            <v/>
          </cell>
          <cell r="O13">
            <v>0.64544875875238705</v>
          </cell>
          <cell r="P13">
            <v>0.60468103325246181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zoomScaleNormal="100" workbookViewId="0">
      <selection activeCell="T17" sqref="T17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16" ht="15.75" x14ac:dyDescent="0.25">
      <c r="A1" s="63"/>
      <c r="B1" s="71" t="s">
        <v>35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1:16" ht="16.5" thickBot="1" x14ac:dyDescent="0.3">
      <c r="A2" s="64"/>
      <c r="B2" s="71" t="s">
        <v>40</v>
      </c>
      <c r="C2" s="72"/>
      <c r="D2" s="72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</row>
    <row r="3" spans="1:16" ht="15.75" thickBot="1" x14ac:dyDescent="0.3">
      <c r="A3" s="65"/>
      <c r="B3" s="59" t="s">
        <v>0</v>
      </c>
      <c r="C3" s="60"/>
      <c r="D3" s="61"/>
      <c r="E3" s="69" t="s">
        <v>1</v>
      </c>
      <c r="F3" s="67"/>
      <c r="G3" s="68"/>
      <c r="H3" s="62" t="s">
        <v>2</v>
      </c>
      <c r="I3" s="60"/>
      <c r="J3" s="70"/>
      <c r="K3" s="66" t="s">
        <v>3</v>
      </c>
      <c r="L3" s="67"/>
      <c r="M3" s="68"/>
      <c r="N3" s="62" t="s">
        <v>4</v>
      </c>
      <c r="O3" s="60"/>
      <c r="P3" s="61"/>
    </row>
    <row r="4" spans="1:16" ht="15.75" thickBot="1" x14ac:dyDescent="0.3">
      <c r="A4" s="6" t="s">
        <v>37</v>
      </c>
      <c r="B4" s="47" t="s">
        <v>6</v>
      </c>
      <c r="C4" s="48" t="s">
        <v>7</v>
      </c>
      <c r="D4" s="49" t="s">
        <v>8</v>
      </c>
      <c r="E4" s="50" t="s">
        <v>9</v>
      </c>
      <c r="F4" s="51" t="s">
        <v>10</v>
      </c>
      <c r="G4" s="52" t="s">
        <v>11</v>
      </c>
      <c r="H4" s="53" t="s">
        <v>12</v>
      </c>
      <c r="I4" s="48" t="s">
        <v>13</v>
      </c>
      <c r="J4" s="54" t="s">
        <v>14</v>
      </c>
      <c r="K4" s="55" t="s">
        <v>15</v>
      </c>
      <c r="L4" s="51" t="s">
        <v>16</v>
      </c>
      <c r="M4" s="52" t="s">
        <v>17</v>
      </c>
      <c r="N4" s="53" t="s">
        <v>18</v>
      </c>
      <c r="O4" s="48" t="s">
        <v>19</v>
      </c>
      <c r="P4" s="49" t="s">
        <v>20</v>
      </c>
    </row>
    <row r="5" spans="1:16" x14ac:dyDescent="0.25">
      <c r="A5" s="15" t="s">
        <v>21</v>
      </c>
      <c r="B5" s="3">
        <f>VLOOKUP($A5,'[1]credit ethnic graded seats'!$A:$P,HLOOKUP(B$4,'[1]credit ethnic graded seats'!$1:$2,2,FALSE),FALSE)</f>
        <v>1285</v>
      </c>
      <c r="C5" s="19">
        <f>VLOOKUP($A5,'[1]credit ethnic graded seats'!$A:$P,HLOOKUP(C$4,'[1]credit ethnic graded seats'!$1:$2,2,FALSE),FALSE)</f>
        <v>1814</v>
      </c>
      <c r="D5" s="22">
        <f>VLOOKUP($A5,'[1]credit ethnic graded seats'!$A:$P,HLOOKUP(D$4,'[1]credit ethnic graded seats'!$1:$2,2,FALSE),FALSE)</f>
        <v>1976</v>
      </c>
      <c r="E5" s="3">
        <f>VLOOKUP($A5,'[1]credit ethnic graded seats'!$A:$P,HLOOKUP(E$4,'[1]credit ethnic graded seats'!$1:$2,2,FALSE),FALSE)</f>
        <v>1332</v>
      </c>
      <c r="F5" s="19">
        <f>VLOOKUP($A5,'[1]credit ethnic graded seats'!$A:$P,HLOOKUP(F$4,'[1]credit ethnic graded seats'!$1:$2,2,FALSE),FALSE)</f>
        <v>2032</v>
      </c>
      <c r="G5" s="19">
        <f>VLOOKUP($A5,'[1]credit ethnic graded seats'!$A:$P,HLOOKUP(G$4,'[1]credit ethnic graded seats'!$1:$2,2,FALSE),FALSE)</f>
        <v>2193</v>
      </c>
      <c r="H5" s="19">
        <f>VLOOKUP($A5,'[1]credit ethnic graded seats'!$A:$P,HLOOKUP(H$4,'[1]credit ethnic graded seats'!$1:$2,2,FALSE),FALSE)</f>
        <v>474</v>
      </c>
      <c r="I5" s="19">
        <f>VLOOKUP($A5,'[1]credit ethnic graded seats'!$A:$P,HLOOKUP(I$4,'[1]credit ethnic graded seats'!$1:$2,2,FALSE),FALSE)</f>
        <v>2270</v>
      </c>
      <c r="J5" s="20">
        <f>VLOOKUP($A5,'[1]credit ethnic graded seats'!$A:$P,HLOOKUP(J$4,'[1]credit ethnic graded seats'!$1:$2,2,FALSE),FALSE)</f>
        <v>2212</v>
      </c>
      <c r="K5" s="3">
        <f>VLOOKUP($A5,'[1]credit ethnic graded seats'!$A:$P,HLOOKUP(K$4,'[1]credit ethnic graded seats'!$1:$2,2,FALSE),FALSE)</f>
        <v>238</v>
      </c>
      <c r="L5" s="19">
        <f>VLOOKUP($A5,'[1]credit ethnic graded seats'!$A:$P,HLOOKUP(L$4,'[1]credit ethnic graded seats'!$1:$2,2,FALSE),FALSE)</f>
        <v>2077</v>
      </c>
      <c r="M5" s="20">
        <f>VLOOKUP($A5,'[1]credit ethnic graded seats'!$A:$P,HLOOKUP(M$4,'[1]credit ethnic graded seats'!$1:$2,2,FALSE),FALSE)</f>
        <v>1985</v>
      </c>
      <c r="N5" s="24">
        <f>VLOOKUP($A5,'[1]credit ethnic graded seats'!$A:$P,HLOOKUP(N$4,'[1]credit ethnic graded seats'!$1:$2,2,FALSE),FALSE)</f>
        <v>0</v>
      </c>
      <c r="O5" s="19">
        <f>VLOOKUP($A5,'[1]credit ethnic graded seats'!$A:$P,HLOOKUP(O$4,'[1]credit ethnic graded seats'!$1:$2,2,FALSE),FALSE)</f>
        <v>1800</v>
      </c>
      <c r="P5" s="56">
        <f>VLOOKUP($A5,'[1]credit ethnic graded seats'!$A:$P,HLOOKUP(P$4,'[1]credit ethnic graded seats'!$1:$2,2,FALSE),FALSE)</f>
        <v>1909</v>
      </c>
    </row>
    <row r="6" spans="1:16" x14ac:dyDescent="0.25">
      <c r="A6" s="11" t="s">
        <v>22</v>
      </c>
      <c r="B6" s="21">
        <f>VLOOKUP($A6,'[1]credit ethnic graded seats'!$A:$P,HLOOKUP(B$4,'[1]credit ethnic graded seats'!$1:$2,2,FALSE),FALSE)</f>
        <v>504</v>
      </c>
      <c r="C6" s="18">
        <f>VLOOKUP($A6,'[1]credit ethnic graded seats'!$A:$P,HLOOKUP(C$4,'[1]credit ethnic graded seats'!$1:$2,2,FALSE),FALSE)</f>
        <v>648</v>
      </c>
      <c r="D6" s="23">
        <f>VLOOKUP($A6,'[1]credit ethnic graded seats'!$A:$P,HLOOKUP(D$4,'[1]credit ethnic graded seats'!$1:$2,2,FALSE),FALSE)</f>
        <v>803</v>
      </c>
      <c r="E6" s="21">
        <f>VLOOKUP($A6,'[1]credit ethnic graded seats'!$A:$P,HLOOKUP(E$4,'[1]credit ethnic graded seats'!$1:$2,2,FALSE),FALSE)</f>
        <v>581</v>
      </c>
      <c r="F6" s="18">
        <f>VLOOKUP($A6,'[1]credit ethnic graded seats'!$A:$P,HLOOKUP(F$4,'[1]credit ethnic graded seats'!$1:$2,2,FALSE),FALSE)</f>
        <v>939</v>
      </c>
      <c r="G6" s="18">
        <f>VLOOKUP($A6,'[1]credit ethnic graded seats'!$A:$P,HLOOKUP(G$4,'[1]credit ethnic graded seats'!$1:$2,2,FALSE),FALSE)</f>
        <v>922</v>
      </c>
      <c r="H6" s="18">
        <f>VLOOKUP($A6,'[1]credit ethnic graded seats'!$A:$P,HLOOKUP(H$4,'[1]credit ethnic graded seats'!$1:$2,2,FALSE),FALSE)</f>
        <v>243</v>
      </c>
      <c r="I6" s="18">
        <f>VLOOKUP($A6,'[1]credit ethnic graded seats'!$A:$P,HLOOKUP(I$4,'[1]credit ethnic graded seats'!$1:$2,2,FALSE),FALSE)</f>
        <v>991</v>
      </c>
      <c r="J6" s="4">
        <f>VLOOKUP($A6,'[1]credit ethnic graded seats'!$A:$P,HLOOKUP(J$4,'[1]credit ethnic graded seats'!$1:$2,2,FALSE),FALSE)</f>
        <v>1065</v>
      </c>
      <c r="K6" s="21">
        <f>VLOOKUP($A6,'[1]credit ethnic graded seats'!$A:$P,HLOOKUP(K$4,'[1]credit ethnic graded seats'!$1:$2,2,FALSE),FALSE)</f>
        <v>137</v>
      </c>
      <c r="L6" s="18">
        <f>VLOOKUP($A6,'[1]credit ethnic graded seats'!$A:$P,HLOOKUP(L$4,'[1]credit ethnic graded seats'!$1:$2,2,FALSE),FALSE)</f>
        <v>1054</v>
      </c>
      <c r="M6" s="4">
        <f>VLOOKUP($A6,'[1]credit ethnic graded seats'!$A:$P,HLOOKUP(M$4,'[1]credit ethnic graded seats'!$1:$2,2,FALSE),FALSE)</f>
        <v>1087</v>
      </c>
      <c r="N6" s="25">
        <f>VLOOKUP($A6,'[1]credit ethnic graded seats'!$A:$P,HLOOKUP(N$4,'[1]credit ethnic graded seats'!$1:$2,2,FALSE),FALSE)</f>
        <v>0</v>
      </c>
      <c r="O6" s="18">
        <f>VLOOKUP($A6,'[1]credit ethnic graded seats'!$A:$P,HLOOKUP(O$4,'[1]credit ethnic graded seats'!$1:$2,2,FALSE),FALSE)</f>
        <v>1104</v>
      </c>
      <c r="P6" s="18">
        <f>VLOOKUP($A6,'[1]credit ethnic graded seats'!$A:$P,HLOOKUP(P$4,'[1]credit ethnic graded seats'!$1:$2,2,FALSE),FALSE)</f>
        <v>1257</v>
      </c>
    </row>
    <row r="7" spans="1:16" x14ac:dyDescent="0.25">
      <c r="A7" s="11" t="s">
        <v>23</v>
      </c>
      <c r="B7" s="21">
        <f>VLOOKUP($A7,'[1]credit ethnic graded seats'!$A:$P,HLOOKUP(B$4,'[1]credit ethnic graded seats'!$1:$2,2,FALSE),FALSE)</f>
        <v>161</v>
      </c>
      <c r="C7" s="18">
        <f>VLOOKUP($A7,'[1]credit ethnic graded seats'!$A:$P,HLOOKUP(C$4,'[1]credit ethnic graded seats'!$1:$2,2,FALSE),FALSE)</f>
        <v>231</v>
      </c>
      <c r="D7" s="23">
        <f>VLOOKUP($A7,'[1]credit ethnic graded seats'!$A:$P,HLOOKUP(D$4,'[1]credit ethnic graded seats'!$1:$2,2,FALSE),FALSE)</f>
        <v>252</v>
      </c>
      <c r="E7" s="21">
        <f>VLOOKUP($A7,'[1]credit ethnic graded seats'!$A:$P,HLOOKUP(E$4,'[1]credit ethnic graded seats'!$1:$2,2,FALSE),FALSE)</f>
        <v>181</v>
      </c>
      <c r="F7" s="18">
        <f>VLOOKUP($A7,'[1]credit ethnic graded seats'!$A:$P,HLOOKUP(F$4,'[1]credit ethnic graded seats'!$1:$2,2,FALSE),FALSE)</f>
        <v>290</v>
      </c>
      <c r="G7" s="18">
        <f>VLOOKUP($A7,'[1]credit ethnic graded seats'!$A:$P,HLOOKUP(G$4,'[1]credit ethnic graded seats'!$1:$2,2,FALSE),FALSE)</f>
        <v>305</v>
      </c>
      <c r="H7" s="18">
        <f>VLOOKUP($A7,'[1]credit ethnic graded seats'!$A:$P,HLOOKUP(H$4,'[1]credit ethnic graded seats'!$1:$2,2,FALSE),FALSE)</f>
        <v>88</v>
      </c>
      <c r="I7" s="18">
        <f>VLOOKUP($A7,'[1]credit ethnic graded seats'!$A:$P,HLOOKUP(I$4,'[1]credit ethnic graded seats'!$1:$2,2,FALSE),FALSE)</f>
        <v>319</v>
      </c>
      <c r="J7" s="4">
        <f>VLOOKUP($A7,'[1]credit ethnic graded seats'!$A:$P,HLOOKUP(J$4,'[1]credit ethnic graded seats'!$1:$2,2,FALSE),FALSE)</f>
        <v>377</v>
      </c>
      <c r="K7" s="21">
        <f>VLOOKUP($A7,'[1]credit ethnic graded seats'!$A:$P,HLOOKUP(K$4,'[1]credit ethnic graded seats'!$1:$2,2,FALSE),FALSE)</f>
        <v>50</v>
      </c>
      <c r="L7" s="18">
        <f>VLOOKUP($A7,'[1]credit ethnic graded seats'!$A:$P,HLOOKUP(L$4,'[1]credit ethnic graded seats'!$1:$2,2,FALSE),FALSE)</f>
        <v>312</v>
      </c>
      <c r="M7" s="4">
        <f>VLOOKUP($A7,'[1]credit ethnic graded seats'!$A:$P,HLOOKUP(M$4,'[1]credit ethnic graded seats'!$1:$2,2,FALSE),FALSE)</f>
        <v>311</v>
      </c>
      <c r="N7" s="25">
        <f>VLOOKUP($A7,'[1]credit ethnic graded seats'!$A:$P,HLOOKUP(N$4,'[1]credit ethnic graded seats'!$1:$2,2,FALSE),FALSE)</f>
        <v>0</v>
      </c>
      <c r="O7" s="18">
        <f>VLOOKUP($A7,'[1]credit ethnic graded seats'!$A:$P,HLOOKUP(O$4,'[1]credit ethnic graded seats'!$1:$2,2,FALSE),FALSE)</f>
        <v>282</v>
      </c>
      <c r="P7" s="18">
        <f>VLOOKUP($A7,'[1]credit ethnic graded seats'!$A:$P,HLOOKUP(P$4,'[1]credit ethnic graded seats'!$1:$2,2,FALSE),FALSE)</f>
        <v>340</v>
      </c>
    </row>
    <row r="8" spans="1:16" x14ac:dyDescent="0.25">
      <c r="A8" s="11" t="s">
        <v>24</v>
      </c>
      <c r="B8" s="21">
        <f>VLOOKUP($A8,'[1]credit ethnic graded seats'!$A:$P,HLOOKUP(B$4,'[1]credit ethnic graded seats'!$1:$2,2,FALSE),FALSE)</f>
        <v>64</v>
      </c>
      <c r="C8" s="18">
        <f>VLOOKUP($A8,'[1]credit ethnic graded seats'!$A:$P,HLOOKUP(C$4,'[1]credit ethnic graded seats'!$1:$2,2,FALSE),FALSE)</f>
        <v>74</v>
      </c>
      <c r="D8" s="23">
        <f>VLOOKUP($A8,'[1]credit ethnic graded seats'!$A:$P,HLOOKUP(D$4,'[1]credit ethnic graded seats'!$1:$2,2,FALSE),FALSE)</f>
        <v>92</v>
      </c>
      <c r="E8" s="21">
        <f>VLOOKUP($A8,'[1]credit ethnic graded seats'!$A:$P,HLOOKUP(E$4,'[1]credit ethnic graded seats'!$1:$2,2,FALSE),FALSE)</f>
        <v>81</v>
      </c>
      <c r="F8" s="18">
        <f>VLOOKUP($A8,'[1]credit ethnic graded seats'!$A:$P,HLOOKUP(F$4,'[1]credit ethnic graded seats'!$1:$2,2,FALSE),FALSE)</f>
        <v>87</v>
      </c>
      <c r="G8" s="18">
        <f>VLOOKUP($A8,'[1]credit ethnic graded seats'!$A:$P,HLOOKUP(G$4,'[1]credit ethnic graded seats'!$1:$2,2,FALSE),FALSE)</f>
        <v>102</v>
      </c>
      <c r="H8" s="18">
        <f>VLOOKUP($A8,'[1]credit ethnic graded seats'!$A:$P,HLOOKUP(H$4,'[1]credit ethnic graded seats'!$1:$2,2,FALSE),FALSE)</f>
        <v>29</v>
      </c>
      <c r="I8" s="18">
        <f>VLOOKUP($A8,'[1]credit ethnic graded seats'!$A:$P,HLOOKUP(I$4,'[1]credit ethnic graded seats'!$1:$2,2,FALSE),FALSE)</f>
        <v>100</v>
      </c>
      <c r="J8" s="4">
        <f>VLOOKUP($A8,'[1]credit ethnic graded seats'!$A:$P,HLOOKUP(J$4,'[1]credit ethnic graded seats'!$1:$2,2,FALSE),FALSE)</f>
        <v>120</v>
      </c>
      <c r="K8" s="21">
        <f>VLOOKUP($A8,'[1]credit ethnic graded seats'!$A:$P,HLOOKUP(K$4,'[1]credit ethnic graded seats'!$1:$2,2,FALSE),FALSE)</f>
        <v>18</v>
      </c>
      <c r="L8" s="18">
        <f>VLOOKUP($A8,'[1]credit ethnic graded seats'!$A:$P,HLOOKUP(L$4,'[1]credit ethnic graded seats'!$1:$2,2,FALSE),FALSE)</f>
        <v>111</v>
      </c>
      <c r="M8" s="4">
        <f>VLOOKUP($A8,'[1]credit ethnic graded seats'!$A:$P,HLOOKUP(M$4,'[1]credit ethnic graded seats'!$1:$2,2,FALSE),FALSE)</f>
        <v>119</v>
      </c>
      <c r="N8" s="25">
        <f>VLOOKUP($A8,'[1]credit ethnic graded seats'!$A:$P,HLOOKUP(N$4,'[1]credit ethnic graded seats'!$1:$2,2,FALSE),FALSE)</f>
        <v>0</v>
      </c>
      <c r="O8" s="18">
        <f>VLOOKUP($A8,'[1]credit ethnic graded seats'!$A:$P,HLOOKUP(O$4,'[1]credit ethnic graded seats'!$1:$2,2,FALSE),FALSE)</f>
        <v>93</v>
      </c>
      <c r="P8" s="18">
        <f>VLOOKUP($A8,'[1]credit ethnic graded seats'!$A:$P,HLOOKUP(P$4,'[1]credit ethnic graded seats'!$1:$2,2,FALSE),FALSE)</f>
        <v>108</v>
      </c>
    </row>
    <row r="9" spans="1:16" x14ac:dyDescent="0.25">
      <c r="A9" s="11" t="s">
        <v>25</v>
      </c>
      <c r="B9" s="21">
        <f>VLOOKUP($A9,'[1]credit ethnic graded seats'!$A:$P,HLOOKUP(B$4,'[1]credit ethnic graded seats'!$1:$2,2,FALSE),FALSE)</f>
        <v>20</v>
      </c>
      <c r="C9" s="18">
        <f>VLOOKUP($A9,'[1]credit ethnic graded seats'!$A:$P,HLOOKUP(C$4,'[1]credit ethnic graded seats'!$1:$2,2,FALSE),FALSE)</f>
        <v>26</v>
      </c>
      <c r="D9" s="23">
        <f>VLOOKUP($A9,'[1]credit ethnic graded seats'!$A:$P,HLOOKUP(D$4,'[1]credit ethnic graded seats'!$1:$2,2,FALSE),FALSE)</f>
        <v>44</v>
      </c>
      <c r="E9" s="21">
        <f>VLOOKUP($A9,'[1]credit ethnic graded seats'!$A:$P,HLOOKUP(E$4,'[1]credit ethnic graded seats'!$1:$2,2,FALSE),FALSE)</f>
        <v>16</v>
      </c>
      <c r="F9" s="18">
        <f>VLOOKUP($A9,'[1]credit ethnic graded seats'!$A:$P,HLOOKUP(F$4,'[1]credit ethnic graded seats'!$1:$2,2,FALSE),FALSE)</f>
        <v>50</v>
      </c>
      <c r="G9" s="18">
        <f>VLOOKUP($A9,'[1]credit ethnic graded seats'!$A:$P,HLOOKUP(G$4,'[1]credit ethnic graded seats'!$1:$2,2,FALSE),FALSE)</f>
        <v>57</v>
      </c>
      <c r="H9" s="18">
        <f>VLOOKUP($A9,'[1]credit ethnic graded seats'!$A:$P,HLOOKUP(H$4,'[1]credit ethnic graded seats'!$1:$2,2,FALSE),FALSE)</f>
        <v>20</v>
      </c>
      <c r="I9" s="18">
        <f>VLOOKUP($A9,'[1]credit ethnic graded seats'!$A:$P,HLOOKUP(I$4,'[1]credit ethnic graded seats'!$1:$2,2,FALSE),FALSE)</f>
        <v>44</v>
      </c>
      <c r="J9" s="4">
        <f>VLOOKUP($A9,'[1]credit ethnic graded seats'!$A:$P,HLOOKUP(J$4,'[1]credit ethnic graded seats'!$1:$2,2,FALSE),FALSE)</f>
        <v>49</v>
      </c>
      <c r="K9" s="21">
        <f>VLOOKUP($A9,'[1]credit ethnic graded seats'!$A:$P,HLOOKUP(K$4,'[1]credit ethnic graded seats'!$1:$2,2,FALSE),FALSE)</f>
        <v>7</v>
      </c>
      <c r="L9" s="18">
        <f>VLOOKUP($A9,'[1]credit ethnic graded seats'!$A:$P,HLOOKUP(L$4,'[1]credit ethnic graded seats'!$1:$2,2,FALSE),FALSE)</f>
        <v>44</v>
      </c>
      <c r="M9" s="4">
        <f>VLOOKUP($A9,'[1]credit ethnic graded seats'!$A:$P,HLOOKUP(M$4,'[1]credit ethnic graded seats'!$1:$2,2,FALSE),FALSE)</f>
        <v>50</v>
      </c>
      <c r="N9" s="25">
        <f>VLOOKUP($A9,'[1]credit ethnic graded seats'!$A:$P,HLOOKUP(N$4,'[1]credit ethnic graded seats'!$1:$2,2,FALSE),FALSE)</f>
        <v>0</v>
      </c>
      <c r="O9" s="18">
        <f>VLOOKUP($A9,'[1]credit ethnic graded seats'!$A:$P,HLOOKUP(O$4,'[1]credit ethnic graded seats'!$1:$2,2,FALSE),FALSE)</f>
        <v>30</v>
      </c>
      <c r="P9" s="18">
        <f>VLOOKUP($A9,'[1]credit ethnic graded seats'!$A:$P,HLOOKUP(P$4,'[1]credit ethnic graded seats'!$1:$2,2,FALSE),FALSE)</f>
        <v>37</v>
      </c>
    </row>
    <row r="10" spans="1:16" x14ac:dyDescent="0.25">
      <c r="A10" s="11" t="s">
        <v>26</v>
      </c>
      <c r="B10" s="21">
        <f>VLOOKUP($A10,'[1]credit ethnic graded seats'!$A:$P,HLOOKUP(B$4,'[1]credit ethnic graded seats'!$1:$2,2,FALSE),FALSE)</f>
        <v>76</v>
      </c>
      <c r="C10" s="18">
        <f>VLOOKUP($A10,'[1]credit ethnic graded seats'!$A:$P,HLOOKUP(C$4,'[1]credit ethnic graded seats'!$1:$2,2,FALSE),FALSE)</f>
        <v>119</v>
      </c>
      <c r="D10" s="23">
        <f>VLOOKUP($A10,'[1]credit ethnic graded seats'!$A:$P,HLOOKUP(D$4,'[1]credit ethnic graded seats'!$1:$2,2,FALSE),FALSE)</f>
        <v>129</v>
      </c>
      <c r="E10" s="21">
        <f>VLOOKUP($A10,'[1]credit ethnic graded seats'!$A:$P,HLOOKUP(E$4,'[1]credit ethnic graded seats'!$1:$2,2,FALSE),FALSE)</f>
        <v>101</v>
      </c>
      <c r="F10" s="18">
        <f>VLOOKUP($A10,'[1]credit ethnic graded seats'!$A:$P,HLOOKUP(F$4,'[1]credit ethnic graded seats'!$1:$2,2,FALSE),FALSE)</f>
        <v>125</v>
      </c>
      <c r="G10" s="18">
        <f>VLOOKUP($A10,'[1]credit ethnic graded seats'!$A:$P,HLOOKUP(G$4,'[1]credit ethnic graded seats'!$1:$2,2,FALSE),FALSE)</f>
        <v>170</v>
      </c>
      <c r="H10" s="18">
        <f>VLOOKUP($A10,'[1]credit ethnic graded seats'!$A:$P,HLOOKUP(H$4,'[1]credit ethnic graded seats'!$1:$2,2,FALSE),FALSE)</f>
        <v>34</v>
      </c>
      <c r="I10" s="18">
        <f>VLOOKUP($A10,'[1]credit ethnic graded seats'!$A:$P,HLOOKUP(I$4,'[1]credit ethnic graded seats'!$1:$2,2,FALSE),FALSE)</f>
        <v>146</v>
      </c>
      <c r="J10" s="4">
        <f>VLOOKUP($A10,'[1]credit ethnic graded seats'!$A:$P,HLOOKUP(J$4,'[1]credit ethnic graded seats'!$1:$2,2,FALSE),FALSE)</f>
        <v>151</v>
      </c>
      <c r="K10" s="21">
        <f>VLOOKUP($A10,'[1]credit ethnic graded seats'!$A:$P,HLOOKUP(K$4,'[1]credit ethnic graded seats'!$1:$2,2,FALSE),FALSE)</f>
        <v>11</v>
      </c>
      <c r="L10" s="18">
        <f>VLOOKUP($A10,'[1]credit ethnic graded seats'!$A:$P,HLOOKUP(L$4,'[1]credit ethnic graded seats'!$1:$2,2,FALSE),FALSE)</f>
        <v>127</v>
      </c>
      <c r="M10" s="4">
        <f>VLOOKUP($A10,'[1]credit ethnic graded seats'!$A:$P,HLOOKUP(M$4,'[1]credit ethnic graded seats'!$1:$2,2,FALSE),FALSE)</f>
        <v>144</v>
      </c>
      <c r="N10" s="25">
        <f>VLOOKUP($A10,'[1]credit ethnic graded seats'!$A:$P,HLOOKUP(N$4,'[1]credit ethnic graded seats'!$1:$2,2,FALSE),FALSE)</f>
        <v>0</v>
      </c>
      <c r="O10" s="18">
        <f>VLOOKUP($A10,'[1]credit ethnic graded seats'!$A:$P,HLOOKUP(O$4,'[1]credit ethnic graded seats'!$1:$2,2,FALSE),FALSE)</f>
        <v>116</v>
      </c>
      <c r="P10" s="18">
        <f>VLOOKUP($A10,'[1]credit ethnic graded seats'!$A:$P,HLOOKUP(P$4,'[1]credit ethnic graded seats'!$1:$2,2,FALSE),FALSE)</f>
        <v>120</v>
      </c>
    </row>
    <row r="11" spans="1:16" x14ac:dyDescent="0.25">
      <c r="A11" s="11" t="s">
        <v>27</v>
      </c>
      <c r="B11" s="21">
        <f>VLOOKUP($A11,'[1]credit ethnic graded seats'!$A:$P,HLOOKUP(B$4,'[1]credit ethnic graded seats'!$1:$2,2,FALSE),FALSE)</f>
        <v>15</v>
      </c>
      <c r="C11" s="18">
        <f>VLOOKUP($A11,'[1]credit ethnic graded seats'!$A:$P,HLOOKUP(C$4,'[1]credit ethnic graded seats'!$1:$2,2,FALSE),FALSE)</f>
        <v>18</v>
      </c>
      <c r="D11" s="23">
        <f>VLOOKUP($A11,'[1]credit ethnic graded seats'!$A:$P,HLOOKUP(D$4,'[1]credit ethnic graded seats'!$1:$2,2,FALSE),FALSE)</f>
        <v>26</v>
      </c>
      <c r="E11" s="21">
        <f>VLOOKUP($A11,'[1]credit ethnic graded seats'!$A:$P,HLOOKUP(E$4,'[1]credit ethnic graded seats'!$1:$2,2,FALSE),FALSE)</f>
        <v>15</v>
      </c>
      <c r="F11" s="18">
        <f>VLOOKUP($A11,'[1]credit ethnic graded seats'!$A:$P,HLOOKUP(F$4,'[1]credit ethnic graded seats'!$1:$2,2,FALSE),FALSE)</f>
        <v>31</v>
      </c>
      <c r="G11" s="18">
        <f>VLOOKUP($A11,'[1]credit ethnic graded seats'!$A:$P,HLOOKUP(G$4,'[1]credit ethnic graded seats'!$1:$2,2,FALSE),FALSE)</f>
        <v>26</v>
      </c>
      <c r="H11" s="18">
        <f>VLOOKUP($A11,'[1]credit ethnic graded seats'!$A:$P,HLOOKUP(H$4,'[1]credit ethnic graded seats'!$1:$2,2,FALSE),FALSE)</f>
        <v>2</v>
      </c>
      <c r="I11" s="18">
        <f>VLOOKUP($A11,'[1]credit ethnic graded seats'!$A:$P,HLOOKUP(I$4,'[1]credit ethnic graded seats'!$1:$2,2,FALSE),FALSE)</f>
        <v>32</v>
      </c>
      <c r="J11" s="4">
        <f>VLOOKUP($A11,'[1]credit ethnic graded seats'!$A:$P,HLOOKUP(J$4,'[1]credit ethnic graded seats'!$1:$2,2,FALSE),FALSE)</f>
        <v>37</v>
      </c>
      <c r="K11" s="21">
        <f>VLOOKUP($A11,'[1]credit ethnic graded seats'!$A:$P,HLOOKUP(K$4,'[1]credit ethnic graded seats'!$1:$2,2,FALSE),FALSE)</f>
        <v>4</v>
      </c>
      <c r="L11" s="18">
        <f>VLOOKUP($A11,'[1]credit ethnic graded seats'!$A:$P,HLOOKUP(L$4,'[1]credit ethnic graded seats'!$1:$2,2,FALSE),FALSE)</f>
        <v>28</v>
      </c>
      <c r="M11" s="4">
        <f>VLOOKUP($A11,'[1]credit ethnic graded seats'!$A:$P,HLOOKUP(M$4,'[1]credit ethnic graded seats'!$1:$2,2,FALSE),FALSE)</f>
        <v>26</v>
      </c>
      <c r="N11" s="25">
        <f>VLOOKUP($A11,'[1]credit ethnic graded seats'!$A:$P,HLOOKUP(N$4,'[1]credit ethnic graded seats'!$1:$2,2,FALSE),FALSE)</f>
        <v>0</v>
      </c>
      <c r="O11" s="18">
        <f>VLOOKUP($A11,'[1]credit ethnic graded seats'!$A:$P,HLOOKUP(O$4,'[1]credit ethnic graded seats'!$1:$2,2,FALSE),FALSE)</f>
        <v>20</v>
      </c>
      <c r="P11" s="18">
        <f>VLOOKUP($A11,'[1]credit ethnic graded seats'!$A:$P,HLOOKUP(P$4,'[1]credit ethnic graded seats'!$1:$2,2,FALSE),FALSE)</f>
        <v>27</v>
      </c>
    </row>
    <row r="12" spans="1:16" x14ac:dyDescent="0.25">
      <c r="A12" s="11" t="s">
        <v>28</v>
      </c>
      <c r="B12" s="21">
        <f>VLOOKUP($A12,'[1]credit ethnic graded seats'!$A:$P,HLOOKUP(B$4,'[1]credit ethnic graded seats'!$1:$2,2,FALSE),FALSE)</f>
        <v>37</v>
      </c>
      <c r="C12" s="18">
        <f>VLOOKUP($A12,'[1]credit ethnic graded seats'!$A:$P,HLOOKUP(C$4,'[1]credit ethnic graded seats'!$1:$2,2,FALSE),FALSE)</f>
        <v>63</v>
      </c>
      <c r="D12" s="23">
        <f>VLOOKUP($A12,'[1]credit ethnic graded seats'!$A:$P,HLOOKUP(D$4,'[1]credit ethnic graded seats'!$1:$2,2,FALSE),FALSE)</f>
        <v>60</v>
      </c>
      <c r="E12" s="21">
        <f>VLOOKUP($A12,'[1]credit ethnic graded seats'!$A:$P,HLOOKUP(E$4,'[1]credit ethnic graded seats'!$1:$2,2,FALSE),FALSE)</f>
        <v>36</v>
      </c>
      <c r="F12" s="18">
        <f>VLOOKUP($A12,'[1]credit ethnic graded seats'!$A:$P,HLOOKUP(F$4,'[1]credit ethnic graded seats'!$1:$2,2,FALSE),FALSE)</f>
        <v>65</v>
      </c>
      <c r="G12" s="18">
        <f>VLOOKUP($A12,'[1]credit ethnic graded seats'!$A:$P,HLOOKUP(G$4,'[1]credit ethnic graded seats'!$1:$2,2,FALSE),FALSE)</f>
        <v>51</v>
      </c>
      <c r="H12" s="18">
        <f>VLOOKUP($A12,'[1]credit ethnic graded seats'!$A:$P,HLOOKUP(H$4,'[1]credit ethnic graded seats'!$1:$2,2,FALSE),FALSE)</f>
        <v>12</v>
      </c>
      <c r="I12" s="18">
        <f>VLOOKUP($A12,'[1]credit ethnic graded seats'!$A:$P,HLOOKUP(I$4,'[1]credit ethnic graded seats'!$1:$2,2,FALSE),FALSE)</f>
        <v>74</v>
      </c>
      <c r="J12" s="4">
        <f>VLOOKUP($A12,'[1]credit ethnic graded seats'!$A:$P,HLOOKUP(J$4,'[1]credit ethnic graded seats'!$1:$2,2,FALSE),FALSE)</f>
        <v>98</v>
      </c>
      <c r="K12" s="21">
        <f>VLOOKUP($A12,'[1]credit ethnic graded seats'!$A:$P,HLOOKUP(K$4,'[1]credit ethnic graded seats'!$1:$2,2,FALSE),FALSE)</f>
        <v>16</v>
      </c>
      <c r="L12" s="18">
        <f>VLOOKUP($A12,'[1]credit ethnic graded seats'!$A:$P,HLOOKUP(L$4,'[1]credit ethnic graded seats'!$1:$2,2,FALSE),FALSE)</f>
        <v>140</v>
      </c>
      <c r="M12" s="4">
        <f>VLOOKUP($A12,'[1]credit ethnic graded seats'!$A:$P,HLOOKUP(M$4,'[1]credit ethnic graded seats'!$1:$2,2,FALSE),FALSE)</f>
        <v>148</v>
      </c>
      <c r="N12" s="25">
        <f>VLOOKUP($A12,'[1]credit ethnic graded seats'!$A:$P,HLOOKUP(N$4,'[1]credit ethnic graded seats'!$1:$2,2,FALSE),FALSE)</f>
        <v>0</v>
      </c>
      <c r="O12" s="18">
        <f>VLOOKUP($A12,'[1]credit ethnic graded seats'!$A:$P,HLOOKUP(O$4,'[1]credit ethnic graded seats'!$1:$2,2,FALSE),FALSE)</f>
        <v>150</v>
      </c>
      <c r="P12" s="18">
        <f>VLOOKUP($A12,'[1]credit ethnic graded seats'!$A:$P,HLOOKUP(P$4,'[1]credit ethnic graded seats'!$1:$2,2,FALSE),FALSE)</f>
        <v>190</v>
      </c>
    </row>
    <row r="13" spans="1:16" ht="15.75" thickBot="1" x14ac:dyDescent="0.3">
      <c r="A13" s="12" t="s">
        <v>29</v>
      </c>
      <c r="B13" s="26">
        <f>VLOOKUP($A13,'[1]credit ethnic graded seats'!$A:$P,HLOOKUP(B$4,'[1]credit ethnic graded seats'!$1:$2,2,FALSE),FALSE)</f>
        <v>173</v>
      </c>
      <c r="C13" s="27">
        <f>VLOOKUP($A13,'[1]credit ethnic graded seats'!$A:$P,HLOOKUP(C$4,'[1]credit ethnic graded seats'!$1:$2,2,FALSE),FALSE)</f>
        <v>239</v>
      </c>
      <c r="D13" s="28">
        <f>VLOOKUP($A13,'[1]credit ethnic graded seats'!$A:$P,HLOOKUP(D$4,'[1]credit ethnic graded seats'!$1:$2,2,FALSE),FALSE)</f>
        <v>275</v>
      </c>
      <c r="E13" s="26">
        <f>VLOOKUP($A13,'[1]credit ethnic graded seats'!$A:$P,HLOOKUP(E$4,'[1]credit ethnic graded seats'!$1:$2,2,FALSE),FALSE)</f>
        <v>210</v>
      </c>
      <c r="F13" s="27">
        <f>VLOOKUP($A13,'[1]credit ethnic graded seats'!$A:$P,HLOOKUP(F$4,'[1]credit ethnic graded seats'!$1:$2,2,FALSE),FALSE)</f>
        <v>305</v>
      </c>
      <c r="G13" s="27">
        <f>VLOOKUP($A13,'[1]credit ethnic graded seats'!$A:$P,HLOOKUP(G$4,'[1]credit ethnic graded seats'!$1:$2,2,FALSE),FALSE)</f>
        <v>351</v>
      </c>
      <c r="H13" s="27">
        <f>VLOOKUP($A13,'[1]credit ethnic graded seats'!$A:$P,HLOOKUP(H$4,'[1]credit ethnic graded seats'!$1:$2,2,FALSE),FALSE)</f>
        <v>87</v>
      </c>
      <c r="I13" s="27">
        <f>VLOOKUP($A13,'[1]credit ethnic graded seats'!$A:$P,HLOOKUP(I$4,'[1]credit ethnic graded seats'!$1:$2,2,FALSE),FALSE)</f>
        <v>351</v>
      </c>
      <c r="J13" s="29">
        <f>VLOOKUP($A13,'[1]credit ethnic graded seats'!$A:$P,HLOOKUP(J$4,'[1]credit ethnic graded seats'!$1:$2,2,FALSE),FALSE)</f>
        <v>344</v>
      </c>
      <c r="K13" s="26">
        <f>VLOOKUP($A13,'[1]credit ethnic graded seats'!$A:$P,HLOOKUP(K$4,'[1]credit ethnic graded seats'!$1:$2,2,FALSE),FALSE)</f>
        <v>37</v>
      </c>
      <c r="L13" s="27">
        <f>VLOOKUP($A13,'[1]credit ethnic graded seats'!$A:$P,HLOOKUP(L$4,'[1]credit ethnic graded seats'!$1:$2,2,FALSE),FALSE)</f>
        <v>265</v>
      </c>
      <c r="M13" s="29">
        <f>VLOOKUP($A13,'[1]credit ethnic graded seats'!$A:$P,HLOOKUP(M$4,'[1]credit ethnic graded seats'!$1:$2,2,FALSE),FALSE)</f>
        <v>255</v>
      </c>
      <c r="N13" s="30">
        <f>VLOOKUP($A13,'[1]credit ethnic graded seats'!$A:$P,HLOOKUP(N$4,'[1]credit ethnic graded seats'!$1:$2,2,FALSE),FALSE)</f>
        <v>0</v>
      </c>
      <c r="O13" s="27">
        <f>VLOOKUP($A13,'[1]credit ethnic graded seats'!$A:$P,HLOOKUP(O$4,'[1]credit ethnic graded seats'!$1:$2,2,FALSE),FALSE)</f>
        <v>194</v>
      </c>
      <c r="P13" s="18">
        <f>VLOOKUP($A13,'[1]credit ethnic graded seats'!$A:$P,HLOOKUP(P$4,'[1]credit ethnic graded seats'!$1:$2,2,FALSE),FALSE)</f>
        <v>171</v>
      </c>
    </row>
    <row r="14" spans="1:16" ht="15.75" thickBot="1" x14ac:dyDescent="0.3">
      <c r="A14" s="16" t="s">
        <v>30</v>
      </c>
      <c r="B14" s="32">
        <f>VLOOKUP($A14,'[1]credit ethnic graded seats'!$A:$P,HLOOKUP(B$4,'[1]credit ethnic graded seats'!$1:$2,2,FALSE),FALSE)</f>
        <v>2335</v>
      </c>
      <c r="C14" s="33">
        <f>VLOOKUP($A14,'[1]credit ethnic graded seats'!$A:$P,HLOOKUP(C$4,'[1]credit ethnic graded seats'!$1:$2,2,FALSE),FALSE)</f>
        <v>3232</v>
      </c>
      <c r="D14" s="34">
        <f>VLOOKUP($A14,'[1]credit ethnic graded seats'!$A:$P,HLOOKUP(D$4,'[1]credit ethnic graded seats'!$1:$2,2,FALSE),FALSE)</f>
        <v>3657</v>
      </c>
      <c r="E14" s="32">
        <f>VLOOKUP($A14,'[1]credit ethnic graded seats'!$A:$P,HLOOKUP(E$4,'[1]credit ethnic graded seats'!$1:$2,2,FALSE),FALSE)</f>
        <v>2553</v>
      </c>
      <c r="F14" s="33">
        <f>VLOOKUP($A14,'[1]credit ethnic graded seats'!$A:$P,HLOOKUP(F$4,'[1]credit ethnic graded seats'!$1:$2,2,FALSE),FALSE)</f>
        <v>3924</v>
      </c>
      <c r="G14" s="33">
        <f>VLOOKUP($A14,'[1]credit ethnic graded seats'!$A:$P,HLOOKUP(G$4,'[1]credit ethnic graded seats'!$1:$2,2,FALSE),FALSE)</f>
        <v>4177</v>
      </c>
      <c r="H14" s="33">
        <f>VLOOKUP($A14,'[1]credit ethnic graded seats'!$A:$P,HLOOKUP(H$4,'[1]credit ethnic graded seats'!$1:$2,2,FALSE),FALSE)</f>
        <v>989</v>
      </c>
      <c r="I14" s="33">
        <f>VLOOKUP($A14,'[1]credit ethnic graded seats'!$A:$P,HLOOKUP(I$4,'[1]credit ethnic graded seats'!$1:$2,2,FALSE),FALSE)</f>
        <v>4327</v>
      </c>
      <c r="J14" s="31">
        <f>VLOOKUP($A14,'[1]credit ethnic graded seats'!$A:$P,HLOOKUP(J$4,'[1]credit ethnic graded seats'!$1:$2,2,FALSE),FALSE)</f>
        <v>4453</v>
      </c>
      <c r="K14" s="32">
        <f>VLOOKUP($A14,'[1]credit ethnic graded seats'!$A:$P,HLOOKUP(K$4,'[1]credit ethnic graded seats'!$1:$2,2,FALSE),FALSE)</f>
        <v>518</v>
      </c>
      <c r="L14" s="33">
        <f>VLOOKUP($A14,'[1]credit ethnic graded seats'!$A:$P,HLOOKUP(L$4,'[1]credit ethnic graded seats'!$1:$2,2,FALSE),FALSE)</f>
        <v>4158</v>
      </c>
      <c r="M14" s="31">
        <f>VLOOKUP($A14,'[1]credit ethnic graded seats'!$A:$P,HLOOKUP(M$4,'[1]credit ethnic graded seats'!$1:$2,2,FALSE),FALSE)</f>
        <v>4125</v>
      </c>
      <c r="N14" s="35">
        <f>VLOOKUP($A14,'[1]credit ethnic graded seats'!$A:$P,HLOOKUP(N$4,'[1]credit ethnic graded seats'!$1:$2,2,FALSE),FALSE)</f>
        <v>0</v>
      </c>
      <c r="O14" s="33">
        <f>VLOOKUP($A14,'[1]credit ethnic graded seats'!$A:$P,HLOOKUP(O$4,'[1]credit ethnic graded seats'!$1:$2,2,FALSE),FALSE)</f>
        <v>3789</v>
      </c>
      <c r="P14" s="33">
        <f>VLOOKUP($A14,'[1]credit ethnic graded seats'!$A:$P,HLOOKUP(P$4,'[1]credit ethnic graded seats'!$1:$2,2,FALSE),FALSE)</f>
        <v>4159</v>
      </c>
    </row>
    <row r="15" spans="1:16" ht="15.75" thickBot="1" x14ac:dyDescent="0.3">
      <c r="A15" s="17" t="s">
        <v>5</v>
      </c>
      <c r="B15" s="86">
        <v>6576</v>
      </c>
      <c r="C15" s="87"/>
      <c r="D15" s="88"/>
      <c r="E15" s="86">
        <v>7552</v>
      </c>
      <c r="F15" s="87"/>
      <c r="G15" s="87"/>
      <c r="H15" s="87">
        <v>7119</v>
      </c>
      <c r="I15" s="87"/>
      <c r="J15" s="89"/>
      <c r="K15" s="86">
        <v>6510</v>
      </c>
      <c r="L15" s="87"/>
      <c r="M15" s="89"/>
      <c r="N15" s="90"/>
      <c r="O15" s="87"/>
      <c r="P15" s="89"/>
    </row>
    <row r="16" spans="1:16" ht="15.75" thickBot="1" x14ac:dyDescent="0.3">
      <c r="A16" s="1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5.75" x14ac:dyDescent="0.25">
      <c r="A17" s="76" t="s">
        <v>31</v>
      </c>
      <c r="B17" s="79" t="s">
        <v>32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1"/>
    </row>
    <row r="18" spans="1:16" ht="16.5" thickBot="1" x14ac:dyDescent="0.3">
      <c r="A18" s="77"/>
      <c r="B18" s="82" t="str">
        <f>B2</f>
        <v>MSJC Online Total by Ethnic Groups</v>
      </c>
      <c r="C18" s="83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5"/>
    </row>
    <row r="19" spans="1:16" ht="15.75" thickBot="1" x14ac:dyDescent="0.3">
      <c r="A19" s="78"/>
      <c r="B19" s="59" t="s">
        <v>0</v>
      </c>
      <c r="C19" s="60"/>
      <c r="D19" s="61"/>
      <c r="E19" s="69" t="s">
        <v>1</v>
      </c>
      <c r="F19" s="67"/>
      <c r="G19" s="68"/>
      <c r="H19" s="62" t="s">
        <v>2</v>
      </c>
      <c r="I19" s="60"/>
      <c r="J19" s="70"/>
      <c r="K19" s="66" t="s">
        <v>3</v>
      </c>
      <c r="L19" s="67"/>
      <c r="M19" s="68"/>
      <c r="N19" s="62" t="s">
        <v>4</v>
      </c>
      <c r="O19" s="60"/>
      <c r="P19" s="61"/>
    </row>
    <row r="20" spans="1:16" ht="15.75" thickBot="1" x14ac:dyDescent="0.3">
      <c r="A20" s="6" t="s">
        <v>38</v>
      </c>
      <c r="B20" s="47" t="s">
        <v>6</v>
      </c>
      <c r="C20" s="48" t="s">
        <v>7</v>
      </c>
      <c r="D20" s="49" t="s">
        <v>8</v>
      </c>
      <c r="E20" s="50" t="s">
        <v>9</v>
      </c>
      <c r="F20" s="51" t="s">
        <v>10</v>
      </c>
      <c r="G20" s="52" t="s">
        <v>11</v>
      </c>
      <c r="H20" s="53" t="s">
        <v>12</v>
      </c>
      <c r="I20" s="48" t="s">
        <v>13</v>
      </c>
      <c r="J20" s="54" t="s">
        <v>14</v>
      </c>
      <c r="K20" s="55" t="s">
        <v>15</v>
      </c>
      <c r="L20" s="51" t="s">
        <v>16</v>
      </c>
      <c r="M20" s="52" t="s">
        <v>17</v>
      </c>
      <c r="N20" s="53" t="s">
        <v>18</v>
      </c>
      <c r="O20" s="48" t="s">
        <v>19</v>
      </c>
      <c r="P20" s="49" t="s">
        <v>20</v>
      </c>
    </row>
    <row r="21" spans="1:16" x14ac:dyDescent="0.25">
      <c r="A21" s="10" t="s">
        <v>21</v>
      </c>
      <c r="B21" s="44">
        <f t="shared" ref="B21:M21" si="0">IFERROR((B5/B$14),"")</f>
        <v>0.550321199143469</v>
      </c>
      <c r="C21" s="44">
        <f t="shared" si="0"/>
        <v>0.56126237623762376</v>
      </c>
      <c r="D21" s="44">
        <f t="shared" si="0"/>
        <v>0.54033360678151487</v>
      </c>
      <c r="E21" s="44">
        <f t="shared" si="0"/>
        <v>0.52173913043478259</v>
      </c>
      <c r="F21" s="44">
        <f t="shared" si="0"/>
        <v>0.51783893985728846</v>
      </c>
      <c r="G21" s="44">
        <f t="shared" si="0"/>
        <v>0.52501795547043328</v>
      </c>
      <c r="H21" s="44">
        <f t="shared" si="0"/>
        <v>0.47927199191102121</v>
      </c>
      <c r="I21" s="44">
        <f t="shared" si="0"/>
        <v>0.52461289577074188</v>
      </c>
      <c r="J21" s="44">
        <f t="shared" si="0"/>
        <v>0.4967437682461262</v>
      </c>
      <c r="K21" s="44">
        <f t="shared" si="0"/>
        <v>0.45945945945945948</v>
      </c>
      <c r="L21" s="44">
        <f t="shared" si="0"/>
        <v>0.49951899951899953</v>
      </c>
      <c r="M21" s="44">
        <f t="shared" si="0"/>
        <v>0.4812121212121212</v>
      </c>
      <c r="N21" s="44" t="str">
        <f>IFERROR((N5/N$14),"")</f>
        <v/>
      </c>
      <c r="O21" s="44">
        <f t="shared" ref="O21:P21" si="1">IFERROR((O5/O$14),"")</f>
        <v>0.47505938242280282</v>
      </c>
      <c r="P21" s="44">
        <f t="shared" si="1"/>
        <v>0.45900456840586679</v>
      </c>
    </row>
    <row r="22" spans="1:16" x14ac:dyDescent="0.25">
      <c r="A22" s="11" t="s">
        <v>22</v>
      </c>
      <c r="B22" s="41">
        <f t="shared" ref="B22:N22" si="2">IFERROR((B6/B$14),"")</f>
        <v>0.2158458244111349</v>
      </c>
      <c r="C22" s="36">
        <f t="shared" si="2"/>
        <v>0.20049504950495051</v>
      </c>
      <c r="D22" s="42">
        <f t="shared" si="2"/>
        <v>0.21957888980038281</v>
      </c>
      <c r="E22" s="41">
        <f t="shared" si="2"/>
        <v>0.22757540148844496</v>
      </c>
      <c r="F22" s="36">
        <f t="shared" si="2"/>
        <v>0.2392966360856269</v>
      </c>
      <c r="G22" s="5">
        <f t="shared" si="2"/>
        <v>0.22073258319367967</v>
      </c>
      <c r="H22" s="45">
        <f t="shared" si="2"/>
        <v>0.24570273003033366</v>
      </c>
      <c r="I22" s="36">
        <f t="shared" si="2"/>
        <v>0.22902703951929743</v>
      </c>
      <c r="J22" s="42">
        <f t="shared" si="2"/>
        <v>0.239164608129351</v>
      </c>
      <c r="K22" s="41">
        <f t="shared" si="2"/>
        <v>0.26447876447876451</v>
      </c>
      <c r="L22" s="36">
        <f t="shared" si="2"/>
        <v>0.25348725348725348</v>
      </c>
      <c r="M22" s="5">
        <f t="shared" si="2"/>
        <v>0.26351515151515154</v>
      </c>
      <c r="N22" s="45" t="str">
        <f t="shared" si="2"/>
        <v/>
      </c>
      <c r="O22" s="45">
        <f t="shared" ref="O22:P22" si="3">IFERROR((O6/O$14),"")</f>
        <v>0.2913697545526524</v>
      </c>
      <c r="P22" s="45">
        <f t="shared" si="3"/>
        <v>0.30223611445058907</v>
      </c>
    </row>
    <row r="23" spans="1:16" x14ac:dyDescent="0.25">
      <c r="A23" s="11" t="s">
        <v>23</v>
      </c>
      <c r="B23" s="41">
        <f t="shared" ref="B23:N23" si="4">IFERROR((B7/B$14),"")</f>
        <v>6.8950749464668087E-2</v>
      </c>
      <c r="C23" s="36">
        <f t="shared" si="4"/>
        <v>7.1472772277227717E-2</v>
      </c>
      <c r="D23" s="42">
        <f t="shared" si="4"/>
        <v>6.8908941755537328E-2</v>
      </c>
      <c r="E23" s="41">
        <f t="shared" si="4"/>
        <v>7.0896983940462205E-2</v>
      </c>
      <c r="F23" s="36">
        <f t="shared" si="4"/>
        <v>7.3904179408766563E-2</v>
      </c>
      <c r="G23" s="5">
        <f t="shared" si="4"/>
        <v>7.3018913095523108E-2</v>
      </c>
      <c r="H23" s="45">
        <f t="shared" si="4"/>
        <v>8.8978766430738113E-2</v>
      </c>
      <c r="I23" s="36">
        <f t="shared" si="4"/>
        <v>7.3723133810954466E-2</v>
      </c>
      <c r="J23" s="42">
        <f t="shared" si="4"/>
        <v>8.4662025600718616E-2</v>
      </c>
      <c r="K23" s="41">
        <f t="shared" si="4"/>
        <v>9.6525096525096526E-2</v>
      </c>
      <c r="L23" s="36">
        <f t="shared" si="4"/>
        <v>7.5036075036075039E-2</v>
      </c>
      <c r="M23" s="5">
        <f t="shared" si="4"/>
        <v>7.5393939393939388E-2</v>
      </c>
      <c r="N23" s="45" t="str">
        <f t="shared" si="4"/>
        <v/>
      </c>
      <c r="O23" s="45">
        <f t="shared" ref="O23:P23" si="5">IFERROR((O7/O$14),"")</f>
        <v>7.4425969912905773E-2</v>
      </c>
      <c r="P23" s="45">
        <f t="shared" si="5"/>
        <v>8.1750420774224578E-2</v>
      </c>
    </row>
    <row r="24" spans="1:16" x14ac:dyDescent="0.25">
      <c r="A24" s="11" t="s">
        <v>24</v>
      </c>
      <c r="B24" s="41">
        <f t="shared" ref="B24:N24" si="6">IFERROR((B8/B$14),"")</f>
        <v>2.7408993576017129E-2</v>
      </c>
      <c r="C24" s="36">
        <f t="shared" si="6"/>
        <v>2.2896039603960396E-2</v>
      </c>
      <c r="D24" s="42">
        <f t="shared" si="6"/>
        <v>2.5157232704402517E-2</v>
      </c>
      <c r="E24" s="41">
        <f t="shared" si="6"/>
        <v>3.1727379553466509E-2</v>
      </c>
      <c r="F24" s="36">
        <f t="shared" si="6"/>
        <v>2.2171253822629969E-2</v>
      </c>
      <c r="G24" s="5">
        <f t="shared" si="6"/>
        <v>2.441943978932248E-2</v>
      </c>
      <c r="H24" s="45">
        <f t="shared" si="6"/>
        <v>2.9322548028311426E-2</v>
      </c>
      <c r="I24" s="36">
        <f t="shared" si="6"/>
        <v>2.3110700254217704E-2</v>
      </c>
      <c r="J24" s="42">
        <f t="shared" si="6"/>
        <v>2.6948124859645182E-2</v>
      </c>
      <c r="K24" s="41">
        <f t="shared" si="6"/>
        <v>3.4749034749034749E-2</v>
      </c>
      <c r="L24" s="36">
        <f t="shared" si="6"/>
        <v>2.6695526695526696E-2</v>
      </c>
      <c r="M24" s="5">
        <f t="shared" si="6"/>
        <v>2.8848484848484849E-2</v>
      </c>
      <c r="N24" s="45" t="str">
        <f t="shared" si="6"/>
        <v/>
      </c>
      <c r="O24" s="45">
        <f t="shared" ref="O24:P24" si="7">IFERROR((O8/O$14),"")</f>
        <v>2.4544734758511481E-2</v>
      </c>
      <c r="P24" s="45">
        <f t="shared" si="7"/>
        <v>2.5967780716518393E-2</v>
      </c>
    </row>
    <row r="25" spans="1:16" x14ac:dyDescent="0.25">
      <c r="A25" s="11" t="s">
        <v>25</v>
      </c>
      <c r="B25" s="41">
        <f t="shared" ref="B25:N25" si="8">IFERROR((B9/B$14),"")</f>
        <v>8.5653104925053538E-3</v>
      </c>
      <c r="C25" s="36">
        <f t="shared" si="8"/>
        <v>8.0445544554455448E-3</v>
      </c>
      <c r="D25" s="42">
        <f t="shared" si="8"/>
        <v>1.2031719989062073E-2</v>
      </c>
      <c r="E25" s="41">
        <f t="shared" si="8"/>
        <v>6.2671367019193104E-3</v>
      </c>
      <c r="F25" s="36">
        <f t="shared" si="8"/>
        <v>1.27420998980632E-2</v>
      </c>
      <c r="G25" s="5">
        <f t="shared" si="8"/>
        <v>1.3646157529327269E-2</v>
      </c>
      <c r="H25" s="45">
        <f t="shared" si="8"/>
        <v>2.0222446916076844E-2</v>
      </c>
      <c r="I25" s="36">
        <f t="shared" si="8"/>
        <v>1.0168708111855789E-2</v>
      </c>
      <c r="J25" s="42">
        <f t="shared" si="8"/>
        <v>1.1003817651021782E-2</v>
      </c>
      <c r="K25" s="41">
        <f t="shared" si="8"/>
        <v>1.3513513513513514E-2</v>
      </c>
      <c r="L25" s="36">
        <f t="shared" si="8"/>
        <v>1.0582010582010581E-2</v>
      </c>
      <c r="M25" s="5">
        <f t="shared" si="8"/>
        <v>1.2121212121212121E-2</v>
      </c>
      <c r="N25" s="45" t="str">
        <f t="shared" si="8"/>
        <v/>
      </c>
      <c r="O25" s="45">
        <f t="shared" ref="O25:P25" si="9">IFERROR((O9/O$14),"")</f>
        <v>7.91765637371338E-3</v>
      </c>
      <c r="P25" s="45">
        <f t="shared" si="9"/>
        <v>8.8963693195479674E-3</v>
      </c>
    </row>
    <row r="26" spans="1:16" x14ac:dyDescent="0.25">
      <c r="A26" s="11" t="s">
        <v>26</v>
      </c>
      <c r="B26" s="41">
        <f t="shared" ref="B26:N26" si="10">IFERROR((B10/B$14),"")</f>
        <v>3.2548179871520345E-2</v>
      </c>
      <c r="C26" s="36">
        <f t="shared" si="10"/>
        <v>3.6819306930693067E-2</v>
      </c>
      <c r="D26" s="42">
        <f t="shared" si="10"/>
        <v>3.5274815422477443E-2</v>
      </c>
      <c r="E26" s="41">
        <f t="shared" si="10"/>
        <v>3.9561300430865649E-2</v>
      </c>
      <c r="F26" s="36">
        <f t="shared" si="10"/>
        <v>3.1855249745158E-2</v>
      </c>
      <c r="G26" s="5">
        <f t="shared" si="10"/>
        <v>4.069906631553747E-2</v>
      </c>
      <c r="H26" s="45">
        <f t="shared" si="10"/>
        <v>3.4378159757330634E-2</v>
      </c>
      <c r="I26" s="36">
        <f t="shared" si="10"/>
        <v>3.3741622371157846E-2</v>
      </c>
      <c r="J26" s="42">
        <f t="shared" si="10"/>
        <v>3.3909723781720191E-2</v>
      </c>
      <c r="K26" s="41">
        <f t="shared" si="10"/>
        <v>2.1235521235521235E-2</v>
      </c>
      <c r="L26" s="36">
        <f t="shared" si="10"/>
        <v>3.0543530543530543E-2</v>
      </c>
      <c r="M26" s="5">
        <f t="shared" si="10"/>
        <v>3.490909090909091E-2</v>
      </c>
      <c r="N26" s="45" t="str">
        <f t="shared" si="10"/>
        <v/>
      </c>
      <c r="O26" s="45">
        <f t="shared" ref="O26:P26" si="11">IFERROR((O10/O$14),"")</f>
        <v>3.0614937978358406E-2</v>
      </c>
      <c r="P26" s="45">
        <f t="shared" si="11"/>
        <v>2.8853089685020438E-2</v>
      </c>
    </row>
    <row r="27" spans="1:16" x14ac:dyDescent="0.25">
      <c r="A27" s="11" t="s">
        <v>27</v>
      </c>
      <c r="B27" s="41">
        <f t="shared" ref="B27:N27" si="12">IFERROR((B11/B$14),"")</f>
        <v>6.4239828693790149E-3</v>
      </c>
      <c r="C27" s="36">
        <f t="shared" si="12"/>
        <v>5.569306930693069E-3</v>
      </c>
      <c r="D27" s="42">
        <f t="shared" si="12"/>
        <v>7.1096527208094062E-3</v>
      </c>
      <c r="E27" s="41">
        <f t="shared" si="12"/>
        <v>5.8754406580493537E-3</v>
      </c>
      <c r="F27" s="36">
        <f t="shared" si="12"/>
        <v>7.9001019367991848E-3</v>
      </c>
      <c r="G27" s="5">
        <f t="shared" si="12"/>
        <v>6.2245630835527895E-3</v>
      </c>
      <c r="H27" s="45">
        <f t="shared" si="12"/>
        <v>2.0222446916076846E-3</v>
      </c>
      <c r="I27" s="36">
        <f t="shared" si="12"/>
        <v>7.3954240813496651E-3</v>
      </c>
      <c r="J27" s="42">
        <f t="shared" si="12"/>
        <v>8.3090051650572642E-3</v>
      </c>
      <c r="K27" s="41">
        <f t="shared" si="12"/>
        <v>7.7220077220077222E-3</v>
      </c>
      <c r="L27" s="36">
        <f t="shared" si="12"/>
        <v>6.7340067340067337E-3</v>
      </c>
      <c r="M27" s="5">
        <f t="shared" si="12"/>
        <v>6.3030303030303034E-3</v>
      </c>
      <c r="N27" s="45" t="str">
        <f t="shared" si="12"/>
        <v/>
      </c>
      <c r="O27" s="45">
        <f t="shared" ref="O27:P27" si="13">IFERROR((O11/O$14),"")</f>
        <v>5.2784375824755873E-3</v>
      </c>
      <c r="P27" s="45">
        <f t="shared" si="13"/>
        <v>6.4919451791295981E-3</v>
      </c>
    </row>
    <row r="28" spans="1:16" x14ac:dyDescent="0.25">
      <c r="A28" s="11" t="s">
        <v>28</v>
      </c>
      <c r="B28" s="41">
        <f t="shared" ref="B28:N28" si="14">IFERROR((B12/B$14),"")</f>
        <v>1.5845824411134905E-2</v>
      </c>
      <c r="C28" s="36">
        <f t="shared" si="14"/>
        <v>1.9492574257425743E-2</v>
      </c>
      <c r="D28" s="42">
        <f t="shared" si="14"/>
        <v>1.6406890894175553E-2</v>
      </c>
      <c r="E28" s="41">
        <f t="shared" si="14"/>
        <v>1.4101057579318449E-2</v>
      </c>
      <c r="F28" s="36">
        <f t="shared" si="14"/>
        <v>1.6564729867482163E-2</v>
      </c>
      <c r="G28" s="5">
        <f t="shared" si="14"/>
        <v>1.220971989466124E-2</v>
      </c>
      <c r="H28" s="45">
        <f t="shared" si="14"/>
        <v>1.2133468149646108E-2</v>
      </c>
      <c r="I28" s="36">
        <f t="shared" si="14"/>
        <v>1.7101918188121099E-2</v>
      </c>
      <c r="J28" s="42">
        <f t="shared" si="14"/>
        <v>2.2007635302043565E-2</v>
      </c>
      <c r="K28" s="41">
        <f t="shared" si="14"/>
        <v>3.0888030888030889E-2</v>
      </c>
      <c r="L28" s="36">
        <f t="shared" si="14"/>
        <v>3.3670033670033669E-2</v>
      </c>
      <c r="M28" s="5">
        <f t="shared" si="14"/>
        <v>3.5878787878787878E-2</v>
      </c>
      <c r="N28" s="45" t="str">
        <f t="shared" si="14"/>
        <v/>
      </c>
      <c r="O28" s="45">
        <f t="shared" ref="O28:P28" si="15">IFERROR((O12/O$14),"")</f>
        <v>3.9588281868566902E-2</v>
      </c>
      <c r="P28" s="45">
        <f t="shared" si="15"/>
        <v>4.5684058667949029E-2</v>
      </c>
    </row>
    <row r="29" spans="1:16" ht="15.75" thickBot="1" x14ac:dyDescent="0.3">
      <c r="A29" s="12" t="s">
        <v>29</v>
      </c>
      <c r="B29" s="38">
        <f t="shared" ref="B29:N29" si="16">IFERROR((B13/B$14),"")</f>
        <v>7.408993576017131E-2</v>
      </c>
      <c r="C29" s="40">
        <f t="shared" si="16"/>
        <v>7.3948019801980194E-2</v>
      </c>
      <c r="D29" s="43">
        <f t="shared" si="16"/>
        <v>7.5198249931637956E-2</v>
      </c>
      <c r="E29" s="38">
        <f t="shared" si="16"/>
        <v>8.2256169212690952E-2</v>
      </c>
      <c r="F29" s="40">
        <f t="shared" si="16"/>
        <v>7.7726809378185518E-2</v>
      </c>
      <c r="G29" s="37">
        <f t="shared" si="16"/>
        <v>8.4031601627962652E-2</v>
      </c>
      <c r="H29" s="46">
        <f t="shared" si="16"/>
        <v>8.7967644084934279E-2</v>
      </c>
      <c r="I29" s="40">
        <f t="shared" si="16"/>
        <v>8.1118557892304141E-2</v>
      </c>
      <c r="J29" s="43">
        <f t="shared" si="16"/>
        <v>7.7251291264316194E-2</v>
      </c>
      <c r="K29" s="38">
        <f t="shared" si="16"/>
        <v>7.1428571428571425E-2</v>
      </c>
      <c r="L29" s="40">
        <f t="shared" si="16"/>
        <v>6.3732563732563738E-2</v>
      </c>
      <c r="M29" s="37">
        <f t="shared" si="16"/>
        <v>6.1818181818181821E-2</v>
      </c>
      <c r="N29" s="46" t="str">
        <f t="shared" si="16"/>
        <v/>
      </c>
      <c r="O29" s="46">
        <f t="shared" ref="O29:P29" si="17">IFERROR((O13/O$14),"")</f>
        <v>5.1200844550013197E-2</v>
      </c>
      <c r="P29" s="46">
        <f t="shared" si="17"/>
        <v>4.1115652801154125E-2</v>
      </c>
    </row>
    <row r="30" spans="1:1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x14ac:dyDescent="0.25">
      <c r="A31" s="76" t="s">
        <v>33</v>
      </c>
      <c r="B31" s="79" t="s">
        <v>33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</row>
    <row r="32" spans="1:16" ht="16.5" thickBot="1" x14ac:dyDescent="0.3">
      <c r="A32" s="77"/>
      <c r="B32" s="82" t="str">
        <f>B18</f>
        <v>MSJC Online Total by Ethnic Groups</v>
      </c>
      <c r="C32" s="83"/>
      <c r="D32" s="83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</row>
    <row r="33" spans="1:16" ht="15.75" thickBot="1" x14ac:dyDescent="0.3">
      <c r="A33" s="78"/>
      <c r="B33" s="59" t="s">
        <v>0</v>
      </c>
      <c r="C33" s="60"/>
      <c r="D33" s="61"/>
      <c r="E33" s="69" t="s">
        <v>1</v>
      </c>
      <c r="F33" s="67"/>
      <c r="G33" s="68"/>
      <c r="H33" s="62" t="s">
        <v>2</v>
      </c>
      <c r="I33" s="60"/>
      <c r="J33" s="70"/>
      <c r="K33" s="66" t="s">
        <v>3</v>
      </c>
      <c r="L33" s="67"/>
      <c r="M33" s="68"/>
      <c r="N33" s="62" t="s">
        <v>4</v>
      </c>
      <c r="O33" s="60"/>
      <c r="P33" s="61"/>
    </row>
    <row r="34" spans="1:16" ht="15.75" thickBot="1" x14ac:dyDescent="0.3">
      <c r="A34" s="2" t="s">
        <v>37</v>
      </c>
      <c r="B34" s="47" t="s">
        <v>6</v>
      </c>
      <c r="C34" s="48" t="s">
        <v>7</v>
      </c>
      <c r="D34" s="49" t="s">
        <v>8</v>
      </c>
      <c r="E34" s="50" t="s">
        <v>9</v>
      </c>
      <c r="F34" s="51" t="s">
        <v>10</v>
      </c>
      <c r="G34" s="52" t="s">
        <v>11</v>
      </c>
      <c r="H34" s="47" t="s">
        <v>12</v>
      </c>
      <c r="I34" s="48" t="s">
        <v>13</v>
      </c>
      <c r="J34" s="49" t="s">
        <v>14</v>
      </c>
      <c r="K34" s="55" t="s">
        <v>15</v>
      </c>
      <c r="L34" s="51" t="s">
        <v>16</v>
      </c>
      <c r="M34" s="52" t="s">
        <v>17</v>
      </c>
      <c r="N34" s="47" t="s">
        <v>18</v>
      </c>
      <c r="O34" s="48" t="s">
        <v>19</v>
      </c>
      <c r="P34" s="49" t="s">
        <v>20</v>
      </c>
    </row>
    <row r="35" spans="1:16" x14ac:dyDescent="0.25">
      <c r="A35" s="10" t="s">
        <v>21</v>
      </c>
      <c r="B35" s="57">
        <f>VLOOKUP($A35,'[2]success rates'!$A:$P,HLOOKUP(B$34,'[2]success rates'!$1:$2,2,FALSE),FALSE)</f>
        <v>0.73534532791642482</v>
      </c>
      <c r="C35" s="57">
        <f>VLOOKUP($A35,'[2]success rates'!$A:$P,HLOOKUP(C$34,'[2]success rates'!$1:$2,2,FALSE),FALSE)</f>
        <v>0.6156888595912986</v>
      </c>
      <c r="D35" s="57">
        <f>VLOOKUP($A35,'[2]success rates'!$A:$P,HLOOKUP(D$34,'[2]success rates'!$1:$2,2,FALSE),FALSE)</f>
        <v>0.65194501316174325</v>
      </c>
      <c r="E35" s="57">
        <f>VLOOKUP($A35,'[2]success rates'!$A:$P,HLOOKUP(E$34,'[2]success rates'!$1:$2,2,FALSE),FALSE)</f>
        <v>0.79763912310286678</v>
      </c>
      <c r="F35" s="57">
        <f>VLOOKUP($A35,'[2]success rates'!$A:$P,HLOOKUP(F$34,'[2]success rates'!$1:$2,2,FALSE),FALSE)</f>
        <v>0.66129504834456487</v>
      </c>
      <c r="G35" s="57">
        <f>VLOOKUP($A35,'[2]success rates'!$A:$P,HLOOKUP(G$34,'[2]success rates'!$1:$2,2,FALSE),FALSE)</f>
        <v>0.67527576002152279</v>
      </c>
      <c r="H35" s="57">
        <f>VLOOKUP($A35,'[2]success rates'!$A:$P,HLOOKUP(H$34,'[2]success rates'!$1:$2,2,FALSE),FALSE)</f>
        <v>0.76276771004942334</v>
      </c>
      <c r="I35" s="57">
        <f>VLOOKUP($A35,'[2]success rates'!$A:$P,HLOOKUP(I$34,'[2]success rates'!$1:$2,2,FALSE),FALSE)</f>
        <v>0.66326797385620917</v>
      </c>
      <c r="J35" s="57">
        <f>VLOOKUP($A35,'[2]success rates'!$A:$P,HLOOKUP(J$34,'[2]success rates'!$1:$2,2,FALSE),FALSE)</f>
        <v>0.64610133893410349</v>
      </c>
      <c r="K35" s="57">
        <f>VLOOKUP($A35,'[2]success rates'!$A:$P,HLOOKUP(K$34,'[2]success rates'!$1:$2,2,FALSE),FALSE)</f>
        <v>0.81052631578947365</v>
      </c>
      <c r="L35" s="57">
        <f>VLOOKUP($A35,'[2]success rates'!$A:$P,HLOOKUP(L$34,'[2]success rates'!$1:$2,2,FALSE),FALSE)</f>
        <v>0.67768115942028984</v>
      </c>
      <c r="M35" s="57">
        <f>VLOOKUP($A35,'[2]success rates'!$A:$P,HLOOKUP(M$34,'[2]success rates'!$1:$2,2,FALSE),FALSE)</f>
        <v>0.67250074161969742</v>
      </c>
      <c r="N35" s="57" t="str">
        <f>VLOOKUP($A35,'[2]success rates'!$A:$P,HLOOKUP(N$34,'[2]success rates'!$1:$2,2,FALSE),FALSE)</f>
        <v/>
      </c>
      <c r="O35" s="57">
        <f>VLOOKUP($A35,'[2]success rates'!$A:$P,HLOOKUP(O$34,'[2]success rates'!$1:$2,2,FALSE),FALSE)</f>
        <v>0.68433333333333335</v>
      </c>
      <c r="P35" s="57">
        <f>VLOOKUP($A35,'[2]success rates'!$A:$P,HLOOKUP(P$34,'[2]success rates'!$1:$2,2,FALSE),FALSE)</f>
        <v>0.64702290076335878</v>
      </c>
    </row>
    <row r="36" spans="1:16" x14ac:dyDescent="0.25">
      <c r="A36" s="11" t="s">
        <v>22</v>
      </c>
      <c r="B36" s="57">
        <f>VLOOKUP($A36,'[2]success rates'!$A:$P,HLOOKUP(B$34,'[2]success rates'!$1:$2,2,FALSE),FALSE)</f>
        <v>0.67804154302670627</v>
      </c>
      <c r="C36" s="57">
        <f>VLOOKUP($A36,'[2]success rates'!$A:$P,HLOOKUP(C$34,'[2]success rates'!$1:$2,2,FALSE),FALSE)</f>
        <v>0.54315196998123827</v>
      </c>
      <c r="D36" s="57">
        <f>VLOOKUP($A36,'[2]success rates'!$A:$P,HLOOKUP(D$34,'[2]success rates'!$1:$2,2,FALSE),FALSE)</f>
        <v>0.5470543228768171</v>
      </c>
      <c r="E36" s="57">
        <f>VLOOKUP($A36,'[2]success rates'!$A:$P,HLOOKUP(E$34,'[2]success rates'!$1:$2,2,FALSE),FALSE)</f>
        <v>0.68831168831168832</v>
      </c>
      <c r="F36" s="57">
        <f>VLOOKUP($A36,'[2]success rates'!$A:$P,HLOOKUP(F$34,'[2]success rates'!$1:$2,2,FALSE),FALSE)</f>
        <v>0.57066309444072338</v>
      </c>
      <c r="G36" s="57">
        <f>VLOOKUP($A36,'[2]success rates'!$A:$P,HLOOKUP(G$34,'[2]success rates'!$1:$2,2,FALSE),FALSE)</f>
        <v>0.59617918313570484</v>
      </c>
      <c r="H36" s="57">
        <f>VLOOKUP($A36,'[2]success rates'!$A:$P,HLOOKUP(H$34,'[2]success rates'!$1:$2,2,FALSE),FALSE)</f>
        <v>0.67218543046357615</v>
      </c>
      <c r="I36" s="57">
        <f>VLOOKUP($A36,'[2]success rates'!$A:$P,HLOOKUP(I$34,'[2]success rates'!$1:$2,2,FALSE),FALSE)</f>
        <v>0.60237946149029431</v>
      </c>
      <c r="J36" s="57">
        <f>VLOOKUP($A36,'[2]success rates'!$A:$P,HLOOKUP(J$34,'[2]success rates'!$1:$2,2,FALSE),FALSE)</f>
        <v>0.58077360637087605</v>
      </c>
      <c r="K36" s="57">
        <f>VLOOKUP($A36,'[2]success rates'!$A:$P,HLOOKUP(K$34,'[2]success rates'!$1:$2,2,FALSE),FALSE)</f>
        <v>0.78395061728395066</v>
      </c>
      <c r="L36" s="57">
        <f>VLOOKUP($A36,'[2]success rates'!$A:$P,HLOOKUP(L$34,'[2]success rates'!$1:$2,2,FALSE),FALSE)</f>
        <v>0.61428571428571432</v>
      </c>
      <c r="M36" s="57">
        <f>VLOOKUP($A36,'[2]success rates'!$A:$P,HLOOKUP(M$34,'[2]success rates'!$1:$2,2,FALSE),FALSE)</f>
        <v>0.62606232294617559</v>
      </c>
      <c r="N36" s="57" t="str">
        <f>VLOOKUP($A36,'[2]success rates'!$A:$P,HLOOKUP(N$34,'[2]success rates'!$1:$2,2,FALSE),FALSE)</f>
        <v/>
      </c>
      <c r="O36" s="57">
        <f>VLOOKUP($A36,'[2]success rates'!$A:$P,HLOOKUP(O$34,'[2]success rates'!$1:$2,2,FALSE),FALSE)</f>
        <v>0.62647887323943663</v>
      </c>
      <c r="P36" s="57">
        <f>VLOOKUP($A36,'[2]success rates'!$A:$P,HLOOKUP(P$34,'[2]success rates'!$1:$2,2,FALSE),FALSE)</f>
        <v>0.58711566617862376</v>
      </c>
    </row>
    <row r="37" spans="1:16" x14ac:dyDescent="0.25">
      <c r="A37" s="11" t="s">
        <v>23</v>
      </c>
      <c r="B37" s="57">
        <f>VLOOKUP($A37,'[2]success rates'!$A:$P,HLOOKUP(B$34,'[2]success rates'!$1:$2,2,FALSE),FALSE)</f>
        <v>0.51724137931034486</v>
      </c>
      <c r="C37" s="57">
        <f>VLOOKUP($A37,'[2]success rates'!$A:$P,HLOOKUP(C$34,'[2]success rates'!$1:$2,2,FALSE),FALSE)</f>
        <v>0.42619047619047618</v>
      </c>
      <c r="D37" s="57">
        <f>VLOOKUP($A37,'[2]success rates'!$A:$P,HLOOKUP(D$34,'[2]success rates'!$1:$2,2,FALSE),FALSE)</f>
        <v>0.43468950749464669</v>
      </c>
      <c r="E37" s="57">
        <f>VLOOKUP($A37,'[2]success rates'!$A:$P,HLOOKUP(E$34,'[2]success rates'!$1:$2,2,FALSE),FALSE)</f>
        <v>0.62408759124087587</v>
      </c>
      <c r="F37" s="57">
        <f>VLOOKUP($A37,'[2]success rates'!$A:$P,HLOOKUP(F$34,'[2]success rates'!$1:$2,2,FALSE),FALSE)</f>
        <v>0.44216417910447764</v>
      </c>
      <c r="G37" s="57">
        <f>VLOOKUP($A37,'[2]success rates'!$A:$P,HLOOKUP(G$34,'[2]success rates'!$1:$2,2,FALSE),FALSE)</f>
        <v>0.41612903225806452</v>
      </c>
      <c r="H37" s="57">
        <f>VLOOKUP($A37,'[2]success rates'!$A:$P,HLOOKUP(H$34,'[2]success rates'!$1:$2,2,FALSE),FALSE)</f>
        <v>0.7350427350427351</v>
      </c>
      <c r="I37" s="57">
        <f>VLOOKUP($A37,'[2]success rates'!$A:$P,HLOOKUP(I$34,'[2]success rates'!$1:$2,2,FALSE),FALSE)</f>
        <v>0.51898734177215189</v>
      </c>
      <c r="J37" s="57">
        <f>VLOOKUP($A37,'[2]success rates'!$A:$P,HLOOKUP(J$34,'[2]success rates'!$1:$2,2,FALSE),FALSE)</f>
        <v>0.44935805991440797</v>
      </c>
      <c r="K37" s="57">
        <f>VLOOKUP($A37,'[2]success rates'!$A:$P,HLOOKUP(K$34,'[2]success rates'!$1:$2,2,FALSE),FALSE)</f>
        <v>0.69230769230769229</v>
      </c>
      <c r="L37" s="57">
        <f>VLOOKUP($A37,'[2]success rates'!$A:$P,HLOOKUP(L$34,'[2]success rates'!$1:$2,2,FALSE),FALSE)</f>
        <v>0.50082918739635163</v>
      </c>
      <c r="M37" s="57">
        <f>VLOOKUP($A37,'[2]success rates'!$A:$P,HLOOKUP(M$34,'[2]success rates'!$1:$2,2,FALSE),FALSE)</f>
        <v>0.50269299820466784</v>
      </c>
      <c r="N37" s="57" t="str">
        <f>VLOOKUP($A37,'[2]success rates'!$A:$P,HLOOKUP(N$34,'[2]success rates'!$1:$2,2,FALSE),FALSE)</f>
        <v/>
      </c>
      <c r="O37" s="57">
        <f>VLOOKUP($A37,'[2]success rates'!$A:$P,HLOOKUP(O$34,'[2]success rates'!$1:$2,2,FALSE),FALSE)</f>
        <v>0.47674418604651164</v>
      </c>
      <c r="P37" s="57">
        <f>VLOOKUP($A37,'[2]success rates'!$A:$P,HLOOKUP(P$34,'[2]success rates'!$1:$2,2,FALSE),FALSE)</f>
        <v>0.4336569579288026</v>
      </c>
    </row>
    <row r="38" spans="1:16" x14ac:dyDescent="0.25">
      <c r="A38" s="11" t="s">
        <v>24</v>
      </c>
      <c r="B38" s="57">
        <f>VLOOKUP($A38,'[2]success rates'!$A:$P,HLOOKUP(B$34,'[2]success rates'!$1:$2,2,FALSE),FALSE)</f>
        <v>0.8314606741573034</v>
      </c>
      <c r="C38" s="57">
        <f>VLOOKUP($A38,'[2]success rates'!$A:$P,HLOOKUP(C$34,'[2]success rates'!$1:$2,2,FALSE),FALSE)</f>
        <v>0.68965517241379315</v>
      </c>
      <c r="D38" s="57">
        <f>VLOOKUP($A38,'[2]success rates'!$A:$P,HLOOKUP(D$34,'[2]success rates'!$1:$2,2,FALSE),FALSE)</f>
        <v>0.67808219178082196</v>
      </c>
      <c r="E38" s="57">
        <f>VLOOKUP($A38,'[2]success rates'!$A:$P,HLOOKUP(E$34,'[2]success rates'!$1:$2,2,FALSE),FALSE)</f>
        <v>0.80582524271844658</v>
      </c>
      <c r="F38" s="57">
        <f>VLOOKUP($A38,'[2]success rates'!$A:$P,HLOOKUP(F$34,'[2]success rates'!$1:$2,2,FALSE),FALSE)</f>
        <v>0.71724137931034482</v>
      </c>
      <c r="G38" s="57">
        <f>VLOOKUP($A38,'[2]success rates'!$A:$P,HLOOKUP(G$34,'[2]success rates'!$1:$2,2,FALSE),FALSE)</f>
        <v>0.69590643274853803</v>
      </c>
      <c r="H38" s="57">
        <f>VLOOKUP($A38,'[2]success rates'!$A:$P,HLOOKUP(H$34,'[2]success rates'!$1:$2,2,FALSE),FALSE)</f>
        <v>0.82352941176470584</v>
      </c>
      <c r="I38" s="57">
        <f>VLOOKUP($A38,'[2]success rates'!$A:$P,HLOOKUP(I$34,'[2]success rates'!$1:$2,2,FALSE),FALSE)</f>
        <v>0.72499999999999998</v>
      </c>
      <c r="J38" s="57">
        <f>VLOOKUP($A38,'[2]success rates'!$A:$P,HLOOKUP(J$34,'[2]success rates'!$1:$2,2,FALSE),FALSE)</f>
        <v>0.64215686274509809</v>
      </c>
      <c r="K38" s="57">
        <f>VLOOKUP($A38,'[2]success rates'!$A:$P,HLOOKUP(K$34,'[2]success rates'!$1:$2,2,FALSE),FALSE)</f>
        <v>0.90909090909090906</v>
      </c>
      <c r="L38" s="57">
        <f>VLOOKUP($A38,'[2]success rates'!$A:$P,HLOOKUP(L$34,'[2]success rates'!$1:$2,2,FALSE),FALSE)</f>
        <v>0.73770491803278693</v>
      </c>
      <c r="M38" s="57">
        <f>VLOOKUP($A38,'[2]success rates'!$A:$P,HLOOKUP(M$34,'[2]success rates'!$1:$2,2,FALSE),FALSE)</f>
        <v>0.80097087378640774</v>
      </c>
      <c r="N38" s="57" t="str">
        <f>VLOOKUP($A38,'[2]success rates'!$A:$P,HLOOKUP(N$34,'[2]success rates'!$1:$2,2,FALSE),FALSE)</f>
        <v/>
      </c>
      <c r="O38" s="57">
        <f>VLOOKUP($A38,'[2]success rates'!$A:$P,HLOOKUP(O$34,'[2]success rates'!$1:$2,2,FALSE),FALSE)</f>
        <v>0.7142857142857143</v>
      </c>
      <c r="P38" s="57">
        <f>VLOOKUP($A38,'[2]success rates'!$A:$P,HLOOKUP(P$34,'[2]success rates'!$1:$2,2,FALSE),FALSE)</f>
        <v>0.67741935483870963</v>
      </c>
    </row>
    <row r="39" spans="1:16" x14ac:dyDescent="0.25">
      <c r="A39" s="11" t="s">
        <v>25</v>
      </c>
      <c r="B39" s="57">
        <f>VLOOKUP($A39,'[2]success rates'!$A:$P,HLOOKUP(B$34,'[2]success rates'!$1:$2,2,FALSE),FALSE)</f>
        <v>0.42307692307692307</v>
      </c>
      <c r="C39" s="57">
        <f>VLOOKUP($A39,'[2]success rates'!$A:$P,HLOOKUP(C$34,'[2]success rates'!$1:$2,2,FALSE),FALSE)</f>
        <v>0.61363636363636365</v>
      </c>
      <c r="D39" s="57">
        <f>VLOOKUP($A39,'[2]success rates'!$A:$P,HLOOKUP(D$34,'[2]success rates'!$1:$2,2,FALSE),FALSE)</f>
        <v>0.60606060606060608</v>
      </c>
      <c r="E39" s="57">
        <f>VLOOKUP($A39,'[2]success rates'!$A:$P,HLOOKUP(E$34,'[2]success rates'!$1:$2,2,FALSE),FALSE)</f>
        <v>0.73684210526315785</v>
      </c>
      <c r="F39" s="57">
        <f>VLOOKUP($A39,'[2]success rates'!$A:$P,HLOOKUP(F$34,'[2]success rates'!$1:$2,2,FALSE),FALSE)</f>
        <v>0.66666666666666663</v>
      </c>
      <c r="G39" s="57">
        <f>VLOOKUP($A39,'[2]success rates'!$A:$P,HLOOKUP(G$34,'[2]success rates'!$1:$2,2,FALSE),FALSE)</f>
        <v>0.63157894736842102</v>
      </c>
      <c r="H39" s="57">
        <f>VLOOKUP($A39,'[2]success rates'!$A:$P,HLOOKUP(H$34,'[2]success rates'!$1:$2,2,FALSE),FALSE)</f>
        <v>0.73913043478260865</v>
      </c>
      <c r="I39" s="57">
        <f>VLOOKUP($A39,'[2]success rates'!$A:$P,HLOOKUP(I$34,'[2]success rates'!$1:$2,2,FALSE),FALSE)</f>
        <v>0.57692307692307687</v>
      </c>
      <c r="J39" s="57">
        <f>VLOOKUP($A39,'[2]success rates'!$A:$P,HLOOKUP(J$34,'[2]success rates'!$1:$2,2,FALSE),FALSE)</f>
        <v>0.65476190476190477</v>
      </c>
      <c r="K39" s="57">
        <f>VLOOKUP($A39,'[2]success rates'!$A:$P,HLOOKUP(K$34,'[2]success rates'!$1:$2,2,FALSE),FALSE)</f>
        <v>0.77777777777777779</v>
      </c>
      <c r="L39" s="57">
        <f>VLOOKUP($A39,'[2]success rates'!$A:$P,HLOOKUP(L$34,'[2]success rates'!$1:$2,2,FALSE),FALSE)</f>
        <v>0.61538461538461542</v>
      </c>
      <c r="M39" s="57">
        <f>VLOOKUP($A39,'[2]success rates'!$A:$P,HLOOKUP(M$34,'[2]success rates'!$1:$2,2,FALSE),FALSE)</f>
        <v>0.59139784946236562</v>
      </c>
      <c r="N39" s="57" t="str">
        <f>VLOOKUP($A39,'[2]success rates'!$A:$P,HLOOKUP(N$34,'[2]success rates'!$1:$2,2,FALSE),FALSE)</f>
        <v/>
      </c>
      <c r="O39" s="57">
        <f>VLOOKUP($A39,'[2]success rates'!$A:$P,HLOOKUP(O$34,'[2]success rates'!$1:$2,2,FALSE),FALSE)</f>
        <v>0.57894736842105265</v>
      </c>
      <c r="P39" s="57">
        <f>VLOOKUP($A39,'[2]success rates'!$A:$P,HLOOKUP(P$34,'[2]success rates'!$1:$2,2,FALSE),FALSE)</f>
        <v>0.42622950819672129</v>
      </c>
    </row>
    <row r="40" spans="1:16" x14ac:dyDescent="0.25">
      <c r="A40" s="11" t="s">
        <v>26</v>
      </c>
      <c r="B40" s="57">
        <f>VLOOKUP($A40,'[2]success rates'!$A:$P,HLOOKUP(B$34,'[2]success rates'!$1:$2,2,FALSE),FALSE)</f>
        <v>0.72972972972972971</v>
      </c>
      <c r="C40" s="57">
        <f>VLOOKUP($A40,'[2]success rates'!$A:$P,HLOOKUP(C$34,'[2]success rates'!$1:$2,2,FALSE),FALSE)</f>
        <v>0.56382978723404253</v>
      </c>
      <c r="D40" s="57">
        <f>VLOOKUP($A40,'[2]success rates'!$A:$P,HLOOKUP(D$34,'[2]success rates'!$1:$2,2,FALSE),FALSE)</f>
        <v>0.65957446808510634</v>
      </c>
      <c r="E40" s="57">
        <f>VLOOKUP($A40,'[2]success rates'!$A:$P,HLOOKUP(E$34,'[2]success rates'!$1:$2,2,FALSE),FALSE)</f>
        <v>0.79136690647482011</v>
      </c>
      <c r="F40" s="57">
        <f>VLOOKUP($A40,'[2]success rates'!$A:$P,HLOOKUP(F$34,'[2]success rates'!$1:$2,2,FALSE),FALSE)</f>
        <v>0.65420560747663548</v>
      </c>
      <c r="G40" s="57">
        <f>VLOOKUP($A40,'[2]success rates'!$A:$P,HLOOKUP(G$34,'[2]success rates'!$1:$2,2,FALSE),FALSE)</f>
        <v>0.70631970260223054</v>
      </c>
      <c r="H40" s="57">
        <f>VLOOKUP($A40,'[2]success rates'!$A:$P,HLOOKUP(H$34,'[2]success rates'!$1:$2,2,FALSE),FALSE)</f>
        <v>0.78048780487804881</v>
      </c>
      <c r="I40" s="57">
        <f>VLOOKUP($A40,'[2]success rates'!$A:$P,HLOOKUP(I$34,'[2]success rates'!$1:$2,2,FALSE),FALSE)</f>
        <v>0.60888888888888892</v>
      </c>
      <c r="J40" s="57">
        <f>VLOOKUP($A40,'[2]success rates'!$A:$P,HLOOKUP(J$34,'[2]success rates'!$1:$2,2,FALSE),FALSE)</f>
        <v>0.63306451612903225</v>
      </c>
      <c r="K40" s="57">
        <f>VLOOKUP($A40,'[2]success rates'!$A:$P,HLOOKUP(K$34,'[2]success rates'!$1:$2,2,FALSE),FALSE)</f>
        <v>0.92307692307692313</v>
      </c>
      <c r="L40" s="57">
        <f>VLOOKUP($A40,'[2]success rates'!$A:$P,HLOOKUP(L$34,'[2]success rates'!$1:$2,2,FALSE),FALSE)</f>
        <v>0.69902912621359226</v>
      </c>
      <c r="M40" s="57">
        <f>VLOOKUP($A40,'[2]success rates'!$A:$P,HLOOKUP(M$34,'[2]success rates'!$1:$2,2,FALSE),FALSE)</f>
        <v>0.60851063829787233</v>
      </c>
      <c r="N40" s="57" t="str">
        <f>VLOOKUP($A40,'[2]success rates'!$A:$P,HLOOKUP(N$34,'[2]success rates'!$1:$2,2,FALSE),FALSE)</f>
        <v/>
      </c>
      <c r="O40" s="57">
        <f>VLOOKUP($A40,'[2]success rates'!$A:$P,HLOOKUP(O$34,'[2]success rates'!$1:$2,2,FALSE),FALSE)</f>
        <v>0.61111111111111116</v>
      </c>
      <c r="P40" s="57">
        <f>VLOOKUP($A40,'[2]success rates'!$A:$P,HLOOKUP(P$34,'[2]success rates'!$1:$2,2,FALSE),FALSE)</f>
        <v>0.58064516129032262</v>
      </c>
    </row>
    <row r="41" spans="1:16" x14ac:dyDescent="0.25">
      <c r="A41" s="11" t="s">
        <v>27</v>
      </c>
      <c r="B41" s="57">
        <f>VLOOKUP($A41,'[2]success rates'!$A:$P,HLOOKUP(B$34,'[2]success rates'!$1:$2,2,FALSE),FALSE)</f>
        <v>0.76190476190476186</v>
      </c>
      <c r="C41" s="57">
        <f>VLOOKUP($A41,'[2]success rates'!$A:$P,HLOOKUP(C$34,'[2]success rates'!$1:$2,2,FALSE),FALSE)</f>
        <v>0.60606060606060608</v>
      </c>
      <c r="D41" s="57">
        <f>VLOOKUP($A41,'[2]success rates'!$A:$P,HLOOKUP(D$34,'[2]success rates'!$1:$2,2,FALSE),FALSE)</f>
        <v>0.7142857142857143</v>
      </c>
      <c r="E41" s="57">
        <f>VLOOKUP($A41,'[2]success rates'!$A:$P,HLOOKUP(E$34,'[2]success rates'!$1:$2,2,FALSE),FALSE)</f>
        <v>0.52173913043478259</v>
      </c>
      <c r="F41" s="57">
        <f>VLOOKUP($A41,'[2]success rates'!$A:$P,HLOOKUP(F$34,'[2]success rates'!$1:$2,2,FALSE),FALSE)</f>
        <v>0.42592592592592593</v>
      </c>
      <c r="G41" s="57">
        <f>VLOOKUP($A41,'[2]success rates'!$A:$P,HLOOKUP(G$34,'[2]success rates'!$1:$2,2,FALSE),FALSE)</f>
        <v>0.46666666666666667</v>
      </c>
      <c r="H41" s="57">
        <f>VLOOKUP($A41,'[2]success rates'!$A:$P,HLOOKUP(H$34,'[2]success rates'!$1:$2,2,FALSE),FALSE)</f>
        <v>1</v>
      </c>
      <c r="I41" s="57">
        <f>VLOOKUP($A41,'[2]success rates'!$A:$P,HLOOKUP(I$34,'[2]success rates'!$1:$2,2,FALSE),FALSE)</f>
        <v>0.61016949152542377</v>
      </c>
      <c r="J41" s="57">
        <f>VLOOKUP($A41,'[2]success rates'!$A:$P,HLOOKUP(J$34,'[2]success rates'!$1:$2,2,FALSE),FALSE)</f>
        <v>0.52777777777777779</v>
      </c>
      <c r="K41" s="57">
        <f>VLOOKUP($A41,'[2]success rates'!$A:$P,HLOOKUP(K$34,'[2]success rates'!$1:$2,2,FALSE),FALSE)</f>
        <v>0.5</v>
      </c>
      <c r="L41" s="57">
        <f>VLOOKUP($A41,'[2]success rates'!$A:$P,HLOOKUP(L$34,'[2]success rates'!$1:$2,2,FALSE),FALSE)</f>
        <v>0.56097560975609762</v>
      </c>
      <c r="M41" s="57">
        <f>VLOOKUP($A41,'[2]success rates'!$A:$P,HLOOKUP(M$34,'[2]success rates'!$1:$2,2,FALSE),FALSE)</f>
        <v>0.55319148936170215</v>
      </c>
      <c r="N41" s="57" t="str">
        <f>VLOOKUP($A41,'[2]success rates'!$A:$P,HLOOKUP(N$34,'[2]success rates'!$1:$2,2,FALSE),FALSE)</f>
        <v/>
      </c>
      <c r="O41" s="57">
        <f>VLOOKUP($A41,'[2]success rates'!$A:$P,HLOOKUP(O$34,'[2]success rates'!$1:$2,2,FALSE),FALSE)</f>
        <v>0.66666666666666663</v>
      </c>
      <c r="P41" s="57">
        <f>VLOOKUP($A41,'[2]success rates'!$A:$P,HLOOKUP(P$34,'[2]success rates'!$1:$2,2,FALSE),FALSE)</f>
        <v>0.59523809523809523</v>
      </c>
    </row>
    <row r="42" spans="1:16" x14ac:dyDescent="0.25">
      <c r="A42" s="11" t="s">
        <v>28</v>
      </c>
      <c r="B42" s="57">
        <f>VLOOKUP($A42,'[2]success rates'!$A:$P,HLOOKUP(B$34,'[2]success rates'!$1:$2,2,FALSE),FALSE)</f>
        <v>0.64150943396226412</v>
      </c>
      <c r="C42" s="57">
        <f>VLOOKUP($A42,'[2]success rates'!$A:$P,HLOOKUP(C$34,'[2]success rates'!$1:$2,2,FALSE),FALSE)</f>
        <v>0.63063063063063063</v>
      </c>
      <c r="D42" s="57">
        <f>VLOOKUP($A42,'[2]success rates'!$A:$P,HLOOKUP(D$34,'[2]success rates'!$1:$2,2,FALSE),FALSE)</f>
        <v>0.50909090909090904</v>
      </c>
      <c r="E42" s="57">
        <f>VLOOKUP($A42,'[2]success rates'!$A:$P,HLOOKUP(E$34,'[2]success rates'!$1:$2,2,FALSE),FALSE)</f>
        <v>0.70833333333333337</v>
      </c>
      <c r="F42" s="57">
        <f>VLOOKUP($A42,'[2]success rates'!$A:$P,HLOOKUP(F$34,'[2]success rates'!$1:$2,2,FALSE),FALSE)</f>
        <v>0.45945945945945948</v>
      </c>
      <c r="G42" s="57">
        <f>VLOOKUP($A42,'[2]success rates'!$A:$P,HLOOKUP(G$34,'[2]success rates'!$1:$2,2,FALSE),FALSE)</f>
        <v>0.5393258426966292</v>
      </c>
      <c r="H42" s="57">
        <f>VLOOKUP($A42,'[2]success rates'!$A:$P,HLOOKUP(H$34,'[2]success rates'!$1:$2,2,FALSE),FALSE)</f>
        <v>0.5625</v>
      </c>
      <c r="I42" s="57">
        <f>VLOOKUP($A42,'[2]success rates'!$A:$P,HLOOKUP(I$34,'[2]success rates'!$1:$2,2,FALSE),FALSE)</f>
        <v>0.53237410071942448</v>
      </c>
      <c r="J42" s="57">
        <f>VLOOKUP($A42,'[2]success rates'!$A:$P,HLOOKUP(J$34,'[2]success rates'!$1:$2,2,FALSE),FALSE)</f>
        <v>0.53503184713375795</v>
      </c>
      <c r="K42" s="57">
        <f>VLOOKUP($A42,'[2]success rates'!$A:$P,HLOOKUP(K$34,'[2]success rates'!$1:$2,2,FALSE),FALSE)</f>
        <v>0.61111111111111116</v>
      </c>
      <c r="L42" s="57">
        <f>VLOOKUP($A42,'[2]success rates'!$A:$P,HLOOKUP(L$34,'[2]success rates'!$1:$2,2,FALSE),FALSE)</f>
        <v>0.5267857142857143</v>
      </c>
      <c r="M42" s="57">
        <f>VLOOKUP($A42,'[2]success rates'!$A:$P,HLOOKUP(M$34,'[2]success rates'!$1:$2,2,FALSE),FALSE)</f>
        <v>0.51550387596899228</v>
      </c>
      <c r="N42" s="57" t="str">
        <f>VLOOKUP($A42,'[2]success rates'!$A:$P,HLOOKUP(N$34,'[2]success rates'!$1:$2,2,FALSE),FALSE)</f>
        <v/>
      </c>
      <c r="O42" s="57">
        <f>VLOOKUP($A42,'[2]success rates'!$A:$P,HLOOKUP(O$34,'[2]success rates'!$1:$2,2,FALSE),FALSE)</f>
        <v>0.61010830324909748</v>
      </c>
      <c r="P42" s="57">
        <f>VLOOKUP($A42,'[2]success rates'!$A:$P,HLOOKUP(P$34,'[2]success rates'!$1:$2,2,FALSE),FALSE)</f>
        <v>0.546875</v>
      </c>
    </row>
    <row r="43" spans="1:16" ht="15.75" thickBot="1" x14ac:dyDescent="0.3">
      <c r="A43" s="12" t="s">
        <v>29</v>
      </c>
      <c r="B43" s="57">
        <f>VLOOKUP($A43,'[2]success rates'!$A:$P,HLOOKUP(B$34,'[2]success rates'!$1:$2,2,FALSE),FALSE)</f>
        <v>0.74248927038626611</v>
      </c>
      <c r="C43" s="57">
        <f>VLOOKUP($A43,'[2]success rates'!$A:$P,HLOOKUP(C$34,'[2]success rates'!$1:$2,2,FALSE),FALSE)</f>
        <v>0.61818181818181817</v>
      </c>
      <c r="D43" s="57">
        <f>VLOOKUP($A43,'[2]success rates'!$A:$P,HLOOKUP(D$34,'[2]success rates'!$1:$2,2,FALSE),FALSE)</f>
        <v>0.66247379454926625</v>
      </c>
      <c r="E43" s="57">
        <f>VLOOKUP($A43,'[2]success rates'!$A:$P,HLOOKUP(E$34,'[2]success rates'!$1:$2,2,FALSE),FALSE)</f>
        <v>0.7436823104693141</v>
      </c>
      <c r="F43" s="57">
        <f>VLOOKUP($A43,'[2]success rates'!$A:$P,HLOOKUP(F$34,'[2]success rates'!$1:$2,2,FALSE),FALSE)</f>
        <v>0.66795366795366795</v>
      </c>
      <c r="G43" s="57">
        <f>VLOOKUP($A43,'[2]success rates'!$A:$P,HLOOKUP(G$34,'[2]success rates'!$1:$2,2,FALSE),FALSE)</f>
        <v>0.67012089810017272</v>
      </c>
      <c r="H43" s="57">
        <f>VLOOKUP($A43,'[2]success rates'!$A:$P,HLOOKUP(H$34,'[2]success rates'!$1:$2,2,FALSE),FALSE)</f>
        <v>0.68518518518518523</v>
      </c>
      <c r="I43" s="57">
        <f>VLOOKUP($A43,'[2]success rates'!$A:$P,HLOOKUP(I$34,'[2]success rates'!$1:$2,2,FALSE),FALSE)</f>
        <v>0.70668953687821612</v>
      </c>
      <c r="J43" s="57">
        <f>VLOOKUP($A43,'[2]success rates'!$A:$P,HLOOKUP(J$34,'[2]success rates'!$1:$2,2,FALSE),FALSE)</f>
        <v>0.62541254125412538</v>
      </c>
      <c r="K43" s="57">
        <f>VLOOKUP($A43,'[2]success rates'!$A:$P,HLOOKUP(K$34,'[2]success rates'!$1:$2,2,FALSE),FALSE)</f>
        <v>0.65909090909090906</v>
      </c>
      <c r="L43" s="57">
        <f>VLOOKUP($A43,'[2]success rates'!$A:$P,HLOOKUP(L$34,'[2]success rates'!$1:$2,2,FALSE),FALSE)</f>
        <v>0.66589861751152069</v>
      </c>
      <c r="M43" s="57">
        <f>VLOOKUP($A43,'[2]success rates'!$A:$P,HLOOKUP(M$34,'[2]success rates'!$1:$2,2,FALSE),FALSE)</f>
        <v>0.65356265356265353</v>
      </c>
      <c r="N43" s="57" t="str">
        <f>VLOOKUP($A43,'[2]success rates'!$A:$P,HLOOKUP(N$34,'[2]success rates'!$1:$2,2,FALSE),FALSE)</f>
        <v/>
      </c>
      <c r="O43" s="57">
        <f>VLOOKUP($A43,'[2]success rates'!$A:$P,HLOOKUP(O$34,'[2]success rates'!$1:$2,2,FALSE),FALSE)</f>
        <v>0.6887417218543046</v>
      </c>
      <c r="P43" s="57">
        <f>VLOOKUP($A43,'[2]success rates'!$A:$P,HLOOKUP(P$34,'[2]success rates'!$1:$2,2,FALSE),FALSE)</f>
        <v>0.69259259259259254</v>
      </c>
    </row>
    <row r="44" spans="1:16" ht="15.75" thickBot="1" x14ac:dyDescent="0.3">
      <c r="A44" s="13" t="s">
        <v>34</v>
      </c>
      <c r="B44" s="58">
        <f>VLOOKUP('[2]success rates'!$A$13,'[2]success rates'!$A:$P,HLOOKUP(B$34,'[2]success rates'!$1:$2,2,FALSE),FALSE)</f>
        <v>0.7061986084756483</v>
      </c>
      <c r="C44" s="58">
        <f>VLOOKUP('[2]success rates'!$A$13,'[2]success rates'!$A:$P,HLOOKUP(C$34,'[2]success rates'!$1:$2,2,FALSE),FALSE)</f>
        <v>0.58680748564017049</v>
      </c>
      <c r="D44" s="58">
        <f>VLOOKUP('[2]success rates'!$A$13,'[2]success rates'!$A:$P,HLOOKUP(D$34,'[2]success rates'!$1:$2,2,FALSE),FALSE)</f>
        <v>0.61255028157683022</v>
      </c>
      <c r="E44" s="58">
        <f>VLOOKUP('[2]success rates'!$A$13,'[2]success rates'!$A:$P,HLOOKUP(E$34,'[2]success rates'!$1:$2,2,FALSE),FALSE)</f>
        <v>0.75145687645687642</v>
      </c>
      <c r="F44" s="58">
        <f>VLOOKUP('[2]success rates'!$A$13,'[2]success rates'!$A:$P,HLOOKUP(F$34,'[2]success rates'!$1:$2,2,FALSE),FALSE)</f>
        <v>0.61901859189271569</v>
      </c>
      <c r="G44" s="58">
        <f>VLOOKUP('[2]success rates'!$A$13,'[2]success rates'!$A:$P,HLOOKUP(G$34,'[2]success rates'!$1:$2,2,FALSE),FALSE)</f>
        <v>0.63339920948616601</v>
      </c>
      <c r="H44" s="58">
        <f>VLOOKUP('[2]success rates'!$A$13,'[2]success rates'!$A:$P,HLOOKUP(H$34,'[2]success rates'!$1:$2,2,FALSE),FALSE)</f>
        <v>0.73141486810551559</v>
      </c>
      <c r="I44" s="58">
        <f>VLOOKUP('[2]success rates'!$A$13,'[2]success rates'!$A:$P,HLOOKUP(I$34,'[2]success rates'!$1:$2,2,FALSE),FALSE)</f>
        <v>0.63803850948884888</v>
      </c>
      <c r="J44" s="58">
        <f>VLOOKUP('[2]success rates'!$A$13,'[2]success rates'!$A:$P,HLOOKUP(J$34,'[2]success rates'!$1:$2,2,FALSE),FALSE)</f>
        <v>0.60754025395994238</v>
      </c>
      <c r="K44" s="58">
        <f>VLOOKUP('[2]success rates'!$A$13,'[2]success rates'!$A:$P,HLOOKUP(K$34,'[2]success rates'!$1:$2,2,FALSE),FALSE)</f>
        <v>0.77724358974358976</v>
      </c>
      <c r="L44" s="58">
        <f>VLOOKUP('[2]success rates'!$A$13,'[2]success rates'!$A:$P,HLOOKUP(L$34,'[2]success rates'!$1:$2,2,FALSE),FALSE)</f>
        <v>0.64197709813016379</v>
      </c>
      <c r="M44" s="58">
        <f>VLOOKUP('[2]success rates'!$A$13,'[2]success rates'!$A:$P,HLOOKUP(M$34,'[2]success rates'!$1:$2,2,FALSE),FALSE)</f>
        <v>0.63986165153480323</v>
      </c>
      <c r="N44" s="58" t="str">
        <f>VLOOKUP('[2]success rates'!$A$13,'[2]success rates'!$A:$P,HLOOKUP(N$34,'[2]success rates'!$1:$2,2,FALSE),FALSE)</f>
        <v/>
      </c>
      <c r="O44" s="58">
        <f>VLOOKUP('[2]success rates'!$A$13,'[2]success rates'!$A:$P,HLOOKUP(O$34,'[2]success rates'!$1:$2,2,FALSE),FALSE)</f>
        <v>0.64544875875238705</v>
      </c>
      <c r="P44" s="58">
        <f>VLOOKUP('[2]success rates'!$A$13,'[2]success rates'!$A:$P,HLOOKUP(P$34,'[2]success rates'!$1:$2,2,FALSE),FALSE)</f>
        <v>0.60468103325246181</v>
      </c>
    </row>
    <row r="45" spans="1:16" x14ac:dyDescent="0.25">
      <c r="A45" s="14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39" t="s">
        <v>39</v>
      </c>
    </row>
    <row r="52" spans="1:16" x14ac:dyDescent="0.25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"/>
      <c r="O52" s="7"/>
      <c r="P52" s="1"/>
    </row>
    <row r="53" spans="1:16" x14ac:dyDescent="0.25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1"/>
    </row>
    <row r="56" spans="1:16" x14ac:dyDescent="0.25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"/>
    </row>
    <row r="57" spans="1:16" x14ac:dyDescent="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"/>
    </row>
  </sheetData>
  <mergeCells count="29">
    <mergeCell ref="B15:D15"/>
    <mergeCell ref="E15:G15"/>
    <mergeCell ref="H15:J15"/>
    <mergeCell ref="K15:M15"/>
    <mergeCell ref="N15:P15"/>
    <mergeCell ref="A31:A33"/>
    <mergeCell ref="B31:P31"/>
    <mergeCell ref="B32:P32"/>
    <mergeCell ref="B33:D33"/>
    <mergeCell ref="E33:G33"/>
    <mergeCell ref="H33:J33"/>
    <mergeCell ref="K33:M33"/>
    <mergeCell ref="N33:P33"/>
    <mergeCell ref="A17:A19"/>
    <mergeCell ref="B17:P17"/>
    <mergeCell ref="B18:P18"/>
    <mergeCell ref="B19:D19"/>
    <mergeCell ref="E19:G19"/>
    <mergeCell ref="H19:J19"/>
    <mergeCell ref="K19:M19"/>
    <mergeCell ref="N19:P19"/>
    <mergeCell ref="B3:D3"/>
    <mergeCell ref="N3:P3"/>
    <mergeCell ref="A1:A3"/>
    <mergeCell ref="K3:M3"/>
    <mergeCell ref="E3:G3"/>
    <mergeCell ref="H3:J3"/>
    <mergeCell ref="B1:P1"/>
    <mergeCell ref="B2:P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F9BEB5-2A2F-486A-9C4F-ED24AB709EEE}"/>
</file>

<file path=customXml/itemProps2.xml><?xml version="1.0" encoding="utf-8"?>
<ds:datastoreItem xmlns:ds="http://schemas.openxmlformats.org/officeDocument/2006/customXml" ds:itemID="{7ECC1BAC-9003-4465-8C2B-4C9E8D3B9F19}"/>
</file>

<file path=customXml/itemProps3.xml><?xml version="1.0" encoding="utf-8"?>
<ds:datastoreItem xmlns:ds="http://schemas.openxmlformats.org/officeDocument/2006/customXml" ds:itemID="{C480D22F-485C-417D-8806-CA918E76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2012-08-14T15:45:44Z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