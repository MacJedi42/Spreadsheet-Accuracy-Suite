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5CA42402-E39D-E14D-B3B7-887E1F9D3B56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heet1" sheetId="1" r:id="rId1"/>
    <sheet name="S" sheetId="2" r:id="rId2"/>
    <sheet name="Locale" sheetId="3" r:id="rId3"/>
  </sheets>
  <definedNames>
    <definedName name="Gap_1">S!$A$1-S!$B$1</definedName>
    <definedName name="Gap_4">S!$A$2-S!$B$2</definedName>
    <definedName name="Gap_7">S!$A$3-S!$B$3</definedName>
    <definedName name="Gap_8">S!$A$4-S!$B$4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5" i="3"/>
  <c r="A4" i="3"/>
  <c r="A3" i="3"/>
  <c r="A2" i="3"/>
  <c r="A1" i="3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 a="1"/>
  <c r="H10" i="1" s="1"/>
  <c r="H9" i="1"/>
  <c r="H8" i="1" a="1"/>
  <c r="H8" i="1" s="1"/>
  <c r="H7" i="1"/>
  <c r="H6" i="1"/>
  <c r="H5" i="1"/>
  <c r="H4" i="1"/>
  <c r="H3" i="1"/>
  <c r="H2" i="1"/>
  <c r="H1" i="1"/>
</calcChain>
</file>

<file path=xl/sharedStrings.xml><?xml version="1.0" encoding="utf-8"?>
<sst xmlns="http://schemas.openxmlformats.org/spreadsheetml/2006/main" count="32" uniqueCount="32">
  <si>
    <t>a 2-D lookup vector (taller than wide), a one-cell result vector</t>
  </si>
  <si>
    <t>a 2-D lookup vector wider than tall, a one-cell result vector</t>
  </si>
  <si>
    <t>a 2-D lookup vector, a short vertical result vector (position 2 is inside it: see the next block for position 3)</t>
  </si>
  <si>
    <t>a vertical lookup vector, a 2-D result shorter than the lookup (position 2: the first column and column-major order both give D2 = 23, the first row and row-major order E1 = 14)</t>
  </si>
  <si>
    <t>a vertical lookup vector, a 2-D result as tall as the lookup (position 2: the first column and column-major order both give B2 = 21, the first row and row-major order C1 = 12)</t>
  </si>
  <si>
    <t>a vertical lookup vector, a two-cell horizontal result (extended along the row: F1 = 15)</t>
  </si>
  <si>
    <t>a horizontal lookup vector, a 2-D result (position 2: the first row and row-major order both give B7 = 72, the first column and column-major order A8 = 81)</t>
  </si>
  <si>
    <t>the FREQUENCY idiom (IC-26) as an ARRAY formula, as the corpus's books store it: the A6:C6 value nearest 2 is A6:C6's 2nd, so B7 = 72; its lookup vector has 4 elements, the result 3</t>
  </si>
  <si>
    <t>the same as a PLAIN formula: 72 if Excel evaluates ABS(A6:C6-2) as an array there too; #VALUE! if its load intersects A6:C6 implicitly with the formula's own cell (column H is outside A:C)</t>
  </si>
  <si>
    <t>the FREQUENCY idiom matching its 4th, overflow element (5 is above every bin), one past the 3-cell result A7:C7: D7 = 74 if Excel extends the result vector, #N/A if not</t>
  </si>
  <si>
    <t>a 2-D lookup vector, a short vertical result vector, at position 3, PAST the result: D3 = 33 if Excel extends it, #N/A if not</t>
  </si>
  <si>
    <t>a 2-D result shorter than the lookup, position 3: the first column extended D3 = 33, the first row extended F1 = 15, column-major order E1 = 14, row-major order D2 = 23</t>
  </si>
  <si>
    <t>a 2-D result as tall as the lookup, position 3: the first column (or column-major order) B3 = 31, the first row extended D1 = 13, row-major order B2 = 21</t>
  </si>
  <si>
    <t>a horizontal lookup vector, a 2-D result, position 3: the first row extended C7 = 73, the first column extended A9 = 91, row-major order A8 = 81, column-major order B7 = 72</t>
  </si>
  <si>
    <t>IC-19 through a defined name, A = 1+1*2^-52 = 1.0000000000000002, B = 1: the name alone: is its body's subtraction the formula's last step?</t>
  </si>
  <si>
    <t>IC-19 through a defined name, A = 1+1*2^-52 = 1.0000000000000002, B = 1: the name times 1 (the subtraction is not the last step)</t>
  </si>
  <si>
    <t>IC-19 through a defined name, A = 1+1*2^-52 = 1.0000000000000002, B = 1: the name plus 0 (the last step adds 0)</t>
  </si>
  <si>
    <t>IC-19 through a defined name, A = 1+4*2^-52 = 1.0000000000000009, B = 1: the name alone: is its body's subtraction the formula's last step?</t>
  </si>
  <si>
    <t>IC-19 through a defined name, A = 1+4*2^-52 = 1.0000000000000009, B = 1: the name times 1 (the subtraction is not the last step)</t>
  </si>
  <si>
    <t>IC-19 through a defined name, A = 1+4*2^-52 = 1.0000000000000009, B = 1: the name plus 0 (the last step adds 0)</t>
  </si>
  <si>
    <t>IC-19 through a defined name, A = 1+7*2^-52 = 1.0000000000000016, B = 1: the name alone: is its body's subtraction the formula's last step?</t>
  </si>
  <si>
    <t>IC-19 through a defined name, A = 1+7*2^-52 = 1.0000000000000016, B = 1: the name times 1 (the subtraction is not the last step)</t>
  </si>
  <si>
    <t>IC-19 through a defined name, A = 1+7*2^-52 = 1.0000000000000016, B = 1: the name plus 0 (the last step adds 0)</t>
  </si>
  <si>
    <t>IC-19 through a defined name, A = 1+8*2^-52 = 1.0000000000000018, B = 1: the name alone: is its body's subtraction the formula's last step?</t>
  </si>
  <si>
    <t>IC-19 through a defined name, A = 1+8*2^-52 = 1.0000000000000018, B = 1: the name times 1 (the subtraction is not the last step)</t>
  </si>
  <si>
    <t>IC-19 through a defined name, A = 1+8*2^-52 = 1.0000000000000018, B = 1: the name plus 0 (the last step adds 0)</t>
  </si>
  <si>
    <t>1000.5 where "," groups thousands and "." is the decimal point; #VALUE! where "," is the decimal separator</t>
  </si>
  <si>
    <t>1000.5 where "." groups thousands and "," is the decimal separator; #VALUE! in English settings</t>
  </si>
  <si>
    <t>36893 (2 January 2001) where dates read month first, 36923 (1 February 2001) where they read day first</t>
  </si>
  <si>
    <t>36904 (13 January 2001) where dates read day first; #VALUE! where they read month first</t>
  </si>
  <si>
    <t>4 where "$" is the currency symbol and "." the decimal point</t>
  </si>
  <si>
    <t>0.5 where ":" separates hours and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</si>
</sst>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/>
  </sheetViews>
  <sheetFormatPr baseColWidth="10" defaultRowHeight="16" x14ac:dyDescent="0.2"/>
  <sheetData>
    <row r="1" spans="1:9" ht="15" x14ac:dyDescent="0.2">
      <c r="A1">
        <v>1</v>
      </c>
      <c r="B1">
        <v>11</v>
      </c>
      <c r="C1">
        <v>12</v>
      </c>
      <c r="D1">
        <v>13</v>
      </c>
      <c r="E1">
        <v>14</v>
      </c>
      <c r="F1">
        <v>15</v>
      </c>
      <c r="G1">
        <v>16</v>
      </c>
      <c r="H1">
        <f ca="1">LOOKUP(2,A1:B3,D1)</f>
        <v>14</v>
      </c>
      <c r="I1" t="s">
        <v>0</v>
      </c>
    </row>
    <row r="2" spans="1:9" ht="15" x14ac:dyDescent="0.2">
      <c r="A2">
        <v>2</v>
      </c>
      <c r="B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f ca="1">LOOKUP(2,A1:C2,D1)</f>
        <v>13</v>
      </c>
      <c r="I2" t="s">
        <v>1</v>
      </c>
    </row>
    <row r="3" spans="1:9" ht="15" x14ac:dyDescent="0.2">
      <c r="A3">
        <v>3</v>
      </c>
      <c r="B3">
        <v>31</v>
      </c>
      <c r="C3">
        <v>32</v>
      </c>
      <c r="D3">
        <v>33</v>
      </c>
      <c r="E3">
        <v>34</v>
      </c>
      <c r="F3">
        <v>35</v>
      </c>
      <c r="G3">
        <v>36</v>
      </c>
      <c r="H3">
        <f ca="1">LOOKUP(2,A1:B3,D1:D2)</f>
        <v>23</v>
      </c>
      <c r="I3" t="s">
        <v>2</v>
      </c>
    </row>
    <row r="4" spans="1:9" ht="15" x14ac:dyDescent="0.2">
      <c r="A4">
        <v>4</v>
      </c>
      <c r="B4">
        <v>41</v>
      </c>
      <c r="C4">
        <v>42</v>
      </c>
      <c r="D4">
        <v>43</v>
      </c>
      <c r="E4">
        <v>44</v>
      </c>
      <c r="F4">
        <v>45</v>
      </c>
      <c r="G4">
        <v>46</v>
      </c>
      <c r="H4" t="e">
        <f ca="1">LOOKUP(2,A1:A3,D1:E2)</f>
        <v>#N/A</v>
      </c>
      <c r="I4" t="s">
        <v>3</v>
      </c>
    </row>
    <row r="5" spans="1:9" ht="15" x14ac:dyDescent="0.2">
      <c r="H5" t="e">
        <f>LOOKUP(2,A1:A3,B1:C3)</f>
        <v>#N/A</v>
      </c>
      <c r="I5" t="s">
        <v>4</v>
      </c>
    </row>
    <row r="6" spans="1:9" ht="15" x14ac:dyDescent="0.2">
      <c r="A6">
        <v>1</v>
      </c>
      <c r="B6">
        <v>2</v>
      </c>
      <c r="C6">
        <v>3</v>
      </c>
      <c r="H6">
        <f ca="1">LOOKUP(3,A1:A3,D1:E1)</f>
        <v>15</v>
      </c>
      <c r="I6" t="s">
        <v>5</v>
      </c>
    </row>
    <row r="7" spans="1:9" ht="15" x14ac:dyDescent="0.2">
      <c r="A7">
        <v>71</v>
      </c>
      <c r="B7">
        <v>72</v>
      </c>
      <c r="C7">
        <v>73</v>
      </c>
      <c r="D7">
        <v>74</v>
      </c>
      <c r="H7" t="e">
        <f ca="1">LOOKUP(2,A6:C6,A7:B8)</f>
        <v>#N/A</v>
      </c>
      <c r="I7" t="s">
        <v>6</v>
      </c>
    </row>
    <row r="8" spans="1:9" ht="15" x14ac:dyDescent="0.2">
      <c r="A8">
        <v>81</v>
      </c>
      <c r="B8">
        <v>82</v>
      </c>
      <c r="C8">
        <v>83</v>
      </c>
      <c r="D8">
        <v>84</v>
      </c>
      <c r="H8">
        <f t="array" ref="H8">LOOKUP(1,1/FREQUENCY(0,ABS(A6:C6-2)),A7:C7)</f>
        <v>72</v>
      </c>
      <c r="I8" t="s">
        <v>7</v>
      </c>
    </row>
    <row r="9" spans="1:9" ht="15" x14ac:dyDescent="0.2">
      <c r="A9">
        <v>91</v>
      </c>
      <c r="B9">
        <v>92</v>
      </c>
      <c r="C9">
        <v>93</v>
      </c>
      <c r="D9">
        <v>94</v>
      </c>
      <c r="H9">
        <f>LOOKUP(1,1/FREQUENCY(0,ABS(A6:C6-2)),A7:C7)</f>
        <v>72</v>
      </c>
      <c r="I9" t="s">
        <v>8</v>
      </c>
    </row>
    <row r="10" spans="1:9" ht="15" x14ac:dyDescent="0.2">
      <c r="H10">
        <f t="array" ref="H10">LOOKUP(1,1/FREQUENCY(5,A6:C6),A7:C7)</f>
        <v>74</v>
      </c>
      <c r="I10" t="s">
        <v>9</v>
      </c>
    </row>
    <row r="11" spans="1:9" ht="15" x14ac:dyDescent="0.2">
      <c r="H11">
        <f ca="1">LOOKUP(3,A1:B3,D1:D2)</f>
        <v>33</v>
      </c>
      <c r="I11" t="s">
        <v>10</v>
      </c>
    </row>
    <row r="12" spans="1:9" ht="15" x14ac:dyDescent="0.2">
      <c r="H12" t="e">
        <f ca="1">LOOKUP(3,A1:A3,D1:E2)</f>
        <v>#N/A</v>
      </c>
      <c r="I12" t="s">
        <v>11</v>
      </c>
    </row>
    <row r="13" spans="1:9" ht="15" x14ac:dyDescent="0.2">
      <c r="H13" t="e">
        <f>LOOKUP(3,A1:A3,B1:C3)</f>
        <v>#N/A</v>
      </c>
      <c r="I13" t="s">
        <v>12</v>
      </c>
    </row>
    <row r="14" spans="1:9" ht="15" x14ac:dyDescent="0.2">
      <c r="H14" t="e">
        <f ca="1">LOOKUP(3,A6:C6,A7:B8)</f>
        <v>#N/A</v>
      </c>
      <c r="I14" t="s">
        <v>13</v>
      </c>
    </row>
    <row r="15" spans="1:9" ht="15" x14ac:dyDescent="0.2">
      <c r="H15">
        <f>Gap_1</f>
        <v>0</v>
      </c>
      <c r="I15" t="s">
        <v>14</v>
      </c>
    </row>
    <row r="16" spans="1:9" ht="15" x14ac:dyDescent="0.2">
      <c r="H16">
        <f>Gap_1*1</f>
        <v>0</v>
      </c>
      <c r="I16" t="s">
        <v>15</v>
      </c>
    </row>
    <row r="17" spans="8:9" ht="15" x14ac:dyDescent="0.2">
      <c r="H17">
        <f>Gap_1+0</f>
        <v>0</v>
      </c>
      <c r="I17" t="s">
        <v>16</v>
      </c>
    </row>
    <row r="18" spans="8:9" ht="15" x14ac:dyDescent="0.2">
      <c r="H18">
        <f>Gap_4</f>
        <v>0</v>
      </c>
      <c r="I18" t="s">
        <v>17</v>
      </c>
    </row>
    <row r="19" spans="8:9" ht="15" x14ac:dyDescent="0.2">
      <c r="H19">
        <f>Gap_4*1</f>
        <v>0</v>
      </c>
      <c r="I19" t="s">
        <v>18</v>
      </c>
    </row>
    <row r="20" spans="8:9" ht="15" x14ac:dyDescent="0.2">
      <c r="H20">
        <f>Gap_4+0</f>
        <v>0</v>
      </c>
      <c r="I20" t="s">
        <v>19</v>
      </c>
    </row>
    <row r="21" spans="8:9" ht="15" x14ac:dyDescent="0.2">
      <c r="H21">
        <f>Gap_7</f>
        <v>0</v>
      </c>
      <c r="I21" t="s">
        <v>20</v>
      </c>
    </row>
    <row r="22" spans="8:9" ht="15" x14ac:dyDescent="0.2">
      <c r="H22">
        <f>Gap_7*1</f>
        <v>0</v>
      </c>
      <c r="I22" t="s">
        <v>21</v>
      </c>
    </row>
    <row r="23" spans="8:9" ht="15" x14ac:dyDescent="0.2">
      <c r="H23">
        <f>Gap_7+0</f>
        <v>0</v>
      </c>
      <c r="I23" t="s">
        <v>22</v>
      </c>
    </row>
    <row r="24" spans="8:9" ht="15" x14ac:dyDescent="0.2">
      <c r="H24">
        <f>Gap_8</f>
        <v>1.7763568394002505E-15</v>
      </c>
      <c r="I24" t="s">
        <v>23</v>
      </c>
    </row>
    <row r="25" spans="8:9" ht="15" x14ac:dyDescent="0.2">
      <c r="H25">
        <f>Gap_8*1</f>
        <v>1.7763568394002505E-15</v>
      </c>
      <c r="I25" t="s">
        <v>24</v>
      </c>
    </row>
    <row r="26" spans="8:9" ht="15" x14ac:dyDescent="0.2">
      <c r="H26">
        <f>Gap_8+0</f>
        <v>1.7763568394002505E-15</v>
      </c>
      <c r="I2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RowHeight="16" x14ac:dyDescent="0.2"/>
  <sheetData>
    <row r="1" spans="1:2" ht="15" x14ac:dyDescent="0.2">
      <c r="A1">
        <v>1.0000000000000002</v>
      </c>
      <c r="B1">
        <v>1</v>
      </c>
    </row>
    <row r="2" spans="1:2" ht="15" x14ac:dyDescent="0.2">
      <c r="A2">
        <v>1.0000000000000009</v>
      </c>
      <c r="B2">
        <v>1</v>
      </c>
    </row>
    <row r="3" spans="1:2" ht="15" x14ac:dyDescent="0.2">
      <c r="A3">
        <v>1.0000000000000016</v>
      </c>
      <c r="B3">
        <v>1</v>
      </c>
    </row>
    <row r="4" spans="1:2" ht="15" x14ac:dyDescent="0.2">
      <c r="A4">
        <v>1.0000000000000018</v>
      </c>
      <c r="B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RowHeight="16" x14ac:dyDescent="0.2"/>
  <sheetData>
    <row r="1" spans="1:2" ht="15" x14ac:dyDescent="0.2">
      <c r="A1">
        <f>VALUE("1,000.5")</f>
        <v>1000.5</v>
      </c>
      <c r="B1" t="s">
        <v>26</v>
      </c>
    </row>
    <row r="2" spans="1:2" ht="15" x14ac:dyDescent="0.2">
      <c r="A2" t="e">
        <f>VALUE("1.000,5")</f>
        <v>#VALUE!</v>
      </c>
      <c r="B2" t="s">
        <v>27</v>
      </c>
    </row>
    <row r="3" spans="1:2" ht="15" x14ac:dyDescent="0.2">
      <c r="A3">
        <f>DATEVALUE("1/2/2001")</f>
        <v>36923</v>
      </c>
      <c r="B3" t="s">
        <v>28</v>
      </c>
    </row>
    <row r="4" spans="1:2" ht="15" x14ac:dyDescent="0.2">
      <c r="A4">
        <f>DATEVALUE("13/1/2001")</f>
        <v>36904</v>
      </c>
      <c r="B4" t="s">
        <v>29</v>
      </c>
    </row>
    <row r="5" spans="1:2" ht="15" x14ac:dyDescent="0.2">
      <c r="A5">
        <f>VALUE("$4.00")</f>
        <v>4</v>
      </c>
      <c r="B5" t="s">
        <v>30</v>
      </c>
    </row>
    <row r="6" spans="1:2" ht="15" x14ac:dyDescent="0.2">
      <c r="A6">
        <f>VALUE("12:00")</f>
        <v>0.5</v>
      </c>
      <c r="B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</vt:lpstr>
      <vt:lpstr>Locale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2026-10-02T04:38:24Z</dcterms:created>
  <dcterms:modified xsi:type="dcterms:W3CDTF">2026-10-02T04:38:24Z</dcterms:modified>
</cp:coreProperties>
</file>