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45D64439-F5D1-8645-9D05-F89A4C8D98E7}" xr6:coauthVersionLast="47" xr6:coauthVersionMax="47" xr10:uidLastSave="{00000000-0000-0000-0000-000000000000}"/>
  <bookViews>
    <workbookView xWindow="11580" yWindow="5480" windowWidth="28040" windowHeight="17180" activeTab="1" xr2:uid="{FC46E885-8AEB-E64B-9D35-205638A7BA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2" l="1"/>
  <c r="P1" i="2"/>
  <c r="J8" i="2"/>
  <c r="J7" i="2"/>
  <c r="J6" i="2"/>
  <c r="J5" i="2"/>
  <c r="J4" i="2"/>
  <c r="J3" i="2"/>
  <c r="J2" i="2"/>
  <c r="J1" i="2"/>
  <c r="G10" i="2"/>
  <c r="F10" i="2"/>
  <c r="E10" i="2"/>
  <c r="D10" i="2"/>
  <c r="C10" i="2"/>
  <c r="A10" i="2"/>
  <c r="G9" i="2"/>
  <c r="F9" i="2"/>
  <c r="E9" i="2"/>
  <c r="D9" i="2"/>
  <c r="C9" i="2"/>
  <c r="A9" i="2"/>
  <c r="G8" i="2"/>
  <c r="F8" i="2"/>
  <c r="E8" i="2"/>
  <c r="D8" i="2"/>
  <c r="C8" i="2"/>
  <c r="A8" i="2"/>
  <c r="G7" i="2"/>
  <c r="F7" i="2"/>
  <c r="E7" i="2"/>
  <c r="D7" i="2"/>
  <c r="C7" i="2"/>
  <c r="A7" i="2"/>
  <c r="G6" i="2"/>
  <c r="F6" i="2"/>
  <c r="E6" i="2"/>
  <c r="D6" i="2"/>
  <c r="C6" i="2"/>
  <c r="A6" i="2"/>
  <c r="G5" i="2"/>
  <c r="F5" i="2"/>
  <c r="E5" i="2"/>
  <c r="D5" i="2"/>
  <c r="C5" i="2"/>
  <c r="A5" i="2"/>
  <c r="G4" i="2"/>
  <c r="F4" i="2"/>
  <c r="E4" i="2"/>
  <c r="D4" i="2"/>
  <c r="C4" i="2"/>
  <c r="A4" i="2"/>
  <c r="G3" i="2"/>
  <c r="F3" i="2"/>
  <c r="E3" i="2"/>
  <c r="D3" i="2"/>
  <c r="C3" i="2"/>
  <c r="A3" i="2"/>
  <c r="G2" i="2"/>
  <c r="F2" i="2"/>
  <c r="E2" i="2"/>
  <c r="D2" i="2"/>
  <c r="C2" i="2"/>
  <c r="A2" i="2"/>
  <c r="G1" i="2"/>
  <c r="F1" i="2"/>
  <c r="E1" i="2"/>
  <c r="D1" i="2"/>
  <c r="C1" i="2"/>
  <c r="A1" i="2"/>
  <c r="L9" i="2"/>
  <c r="L8" i="2"/>
  <c r="L7" i="2"/>
  <c r="L6" i="2"/>
  <c r="L5" i="2"/>
  <c r="L4" i="2"/>
  <c r="L3" i="2"/>
  <c r="L2" i="2"/>
  <c r="L1" i="2"/>
  <c r="H12" i="1"/>
  <c r="H11" i="1"/>
  <c r="H10" i="1"/>
  <c r="H9" i="1"/>
  <c r="H8" i="1"/>
  <c r="H7" i="1"/>
  <c r="H6" i="1" a="1"/>
  <c r="H6" i="1" s="1"/>
  <c r="H5" i="1"/>
  <c r="H4" i="1"/>
  <c r="H3" i="1"/>
  <c r="H2" i="1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<sst xmlns="http://schemas.openxmlformats.org/spreadsheetml/2006/main" count="1" uniqueCount="1">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</sst>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50CC-A33A-4A41-9B1F-B20831E1A099}">
  <dimension ref="A1:H12"/>
  <sheetViews>
    <sheetView workbookViewId="0"/>
  </sheetViews>
  <sheetFormatPr baseColWidth="10" defaultRowHeight="16" x14ac:dyDescent="0.2"/>
  <sheetData>
    <row r="1" spans="1:8" x14ac:dyDescent="0.2">
      <c r="A1">
        <v>1</v>
      </c>
      <c r="B1">
        <v>11</v>
      </c>
      <c r="C1">
        <v>55</v>
      </c>
      <c r="D1">
        <v>13</v>
      </c>
      <c r="E1">
        <v>14</v>
      </c>
      <c r="H1">
        <f>LOOKUP(2,A1:A3,B1:B3)</f>
        <v>21</v>
      </c>
    </row>
    <row r="2" spans="1:8" x14ac:dyDescent="0.2">
      <c r="A2">
        <v>2</v>
      </c>
      <c r="B2">
        <v>21</v>
      </c>
      <c r="C2">
        <v>22</v>
      </c>
      <c r="D2">
        <v>23</v>
      </c>
      <c r="E2">
        <v>24</v>
      </c>
      <c r="H2">
        <f ca="1">LOOKUP(2,A1:A3,B1)</f>
        <v>55</v>
      </c>
    </row>
    <row r="3" spans="1:8" x14ac:dyDescent="0.2">
      <c r="A3">
        <v>3</v>
      </c>
      <c r="B3">
        <v>99</v>
      </c>
      <c r="C3">
        <v>32</v>
      </c>
      <c r="D3">
        <v>33</v>
      </c>
      <c r="E3">
        <v>34</v>
      </c>
      <c r="H3">
        <f ca="1">LOOKUP(3,A1:A3,B1:B2)</f>
        <v>99</v>
      </c>
    </row>
    <row r="4" spans="1:8" x14ac:dyDescent="0.2">
      <c r="A4">
        <v>4</v>
      </c>
      <c r="B4">
        <v>41</v>
      </c>
      <c r="C4">
        <v>42</v>
      </c>
      <c r="D4">
        <v>43</v>
      </c>
      <c r="E4">
        <v>44</v>
      </c>
      <c r="H4">
        <f ca="1">LOOKUP(3,A1:A3,B1:C1)</f>
        <v>13</v>
      </c>
    </row>
    <row r="5" spans="1:8" x14ac:dyDescent="0.2">
      <c r="H5">
        <f ca="1">LOOKUP(2,A1:A2,B1:B3)</f>
        <v>21</v>
      </c>
    </row>
    <row r="6" spans="1:8" x14ac:dyDescent="0.2">
      <c r="A6">
        <v>1</v>
      </c>
      <c r="B6">
        <v>2</v>
      </c>
      <c r="C6">
        <v>3</v>
      </c>
      <c r="H6" cm="1">
        <f t="array" ref="H6">LOOKUP(2,1/(A1:A3=3),B1:B2)</f>
        <v>99</v>
      </c>
    </row>
    <row r="7" spans="1:8" x14ac:dyDescent="0.2">
      <c r="A7">
        <v>71</v>
      </c>
      <c r="B7">
        <v>72</v>
      </c>
      <c r="C7">
        <v>73</v>
      </c>
      <c r="D7">
        <v>74</v>
      </c>
      <c r="H7">
        <f ca="1">LOOKUP(3,A6:C6,A7:B7)</f>
        <v>73</v>
      </c>
    </row>
    <row r="8" spans="1:8" x14ac:dyDescent="0.2">
      <c r="A8">
        <v>81</v>
      </c>
      <c r="B8">
        <v>82</v>
      </c>
      <c r="C8">
        <v>83</v>
      </c>
      <c r="D8">
        <v>84</v>
      </c>
      <c r="H8">
        <f ca="1">LOOKUP(2,A6:C6,A7)</f>
        <v>72</v>
      </c>
    </row>
    <row r="9" spans="1:8" x14ac:dyDescent="0.2">
      <c r="H9">
        <f ca="1">SUMIF(A1:A3,"&gt;0",B1)</f>
        <v>131</v>
      </c>
    </row>
    <row r="10" spans="1:8" x14ac:dyDescent="0.2">
      <c r="H10">
        <f ca="1">AVERAGEIF(A1:A3,"&gt;0",B1)</f>
        <v>43.666666666666664</v>
      </c>
    </row>
    <row r="11" spans="1:8" x14ac:dyDescent="0.2">
      <c r="H11">
        <f>SUMIF(A1:A2,"&gt;0",B1:B4)</f>
        <v>32</v>
      </c>
    </row>
    <row r="12" spans="1:8" x14ac:dyDescent="0.2">
      <c r="H12">
        <f ca="1">SUMIF(A1:A3,"&gt;0",B1:C1)</f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BF34-D898-904F-AB7F-8B3843775903}">
  <dimension ref="A1:Q10"/>
  <sheetViews>
    <sheetView tabSelected="1" workbookViewId="0"/>
  </sheetViews>
  <sheetFormatPr baseColWidth="10" defaultRowHeight="16" x14ac:dyDescent="0.2"/>
  <cols>
    <col min="1" max="2" width="2.1640625" bestFit="1" customWidth="1"/>
    <col min="3" max="5" width="12.1640625" bestFit="1" customWidth="1"/>
    <col min="6" max="6" width="5.33203125" bestFit="1" customWidth="1"/>
    <col min="7" max="7" width="6" bestFit="1" customWidth="1"/>
    <col min="10" max="10" width="12.1640625" bestFit="1" customWidth="1"/>
    <col min="12" max="12" width="9" bestFit="1" customWidth="1"/>
    <col min="14" max="14" width="2.5" bestFit="1" customWidth="1"/>
    <col min="16" max="16" width="6.1640625" bestFit="1" customWidth="1"/>
    <col min="17" max="17" width="2.1640625" bestFit="1" customWidth="1"/>
  </cols>
  <sheetData>
    <row r="1" spans="1:17" x14ac:dyDescent="0.2">
      <c r="A1">
        <f>1+1*2^-52</f>
        <v>1.0000000000000002</v>
      </c>
      <c r="B1">
        <v>1</v>
      </c>
      <c r="C1">
        <f>A1-$B$1</f>
        <v>0</v>
      </c>
      <c r="D1">
        <f>(A1-$B$1)*1</f>
        <v>2.2204460492503131E-16</v>
      </c>
      <c r="E1">
        <f>SUM(A1,-$B$1)</f>
        <v>0</v>
      </c>
      <c r="F1" t="b">
        <f>A1=$B$1</f>
        <v>1</v>
      </c>
      <c r="G1" t="b">
        <f>A1&gt;$B$1</f>
        <v>0</v>
      </c>
      <c r="J1">
        <f>ROUND(2.5-2^-51,0)</f>
        <v>3</v>
      </c>
      <c r="L1" t="e">
        <f>0^0</f>
        <v>#NUM!</v>
      </c>
      <c r="N1" s="2" t="s">
        <v>0</v>
      </c>
      <c r="P1">
        <f>10^16</f>
        <v>1E+16</v>
      </c>
      <c r="Q1">
        <v>1</v>
      </c>
    </row>
    <row r="2" spans="1:17" x14ac:dyDescent="0.2">
      <c r="A2">
        <f>1+2*2^-52</f>
        <v>1.0000000000000004</v>
      </c>
      <c r="C2">
        <f>A2-$B$1</f>
        <v>0</v>
      </c>
      <c r="D2">
        <f>(A2-$B$1)*1</f>
        <v>4.4408920985006262E-16</v>
      </c>
      <c r="E2">
        <f>SUM(A2,-$B$1)</f>
        <v>0</v>
      </c>
      <c r="F2" t="b">
        <f>A2=$B$1</f>
        <v>1</v>
      </c>
      <c r="G2" t="b">
        <f>A2&gt;$B$1</f>
        <v>0</v>
      </c>
      <c r="J2">
        <f>ROUND(0.5-2^-54,0)</f>
        <v>1</v>
      </c>
      <c r="L2">
        <f>(-8)^(1/3)</f>
        <v>-1.9999999999999998</v>
      </c>
      <c r="P2">
        <f>-10^16</f>
        <v>1E+16</v>
      </c>
      <c r="Q2">
        <v>1</v>
      </c>
    </row>
    <row r="3" spans="1:17" x14ac:dyDescent="0.2">
      <c r="A3">
        <f>1+4*2^-52</f>
        <v>1.0000000000000009</v>
      </c>
      <c r="C3">
        <f>A3-$B$1</f>
        <v>0</v>
      </c>
      <c r="D3">
        <f>(A3-$B$1)*1</f>
        <v>8.8817841970012523E-16</v>
      </c>
      <c r="E3">
        <f>SUM(A3,-$B$1)</f>
        <v>0</v>
      </c>
      <c r="F3" t="b">
        <f>A3=$B$1</f>
        <v>1</v>
      </c>
      <c r="G3" t="b">
        <f>A3&gt;$B$1</f>
        <v>0</v>
      </c>
      <c r="J3">
        <f>ROUND(1250-2^-42,-2)</f>
        <v>1300</v>
      </c>
      <c r="L3" t="b">
        <f>TRUE=1</f>
        <v>0</v>
      </c>
    </row>
    <row r="4" spans="1:17" x14ac:dyDescent="0.2">
      <c r="A4">
        <f>1+5*2^-52</f>
        <v>1.0000000000000011</v>
      </c>
      <c r="C4">
        <f>A4-$B$1</f>
        <v>0</v>
      </c>
      <c r="D4">
        <f>(A4-$B$1)*1</f>
        <v>1.1102230246251565E-15</v>
      </c>
      <c r="E4">
        <f>SUM(A4,-$B$1)</f>
        <v>0</v>
      </c>
      <c r="F4" t="b">
        <f>A4=$B$1</f>
        <v>1</v>
      </c>
      <c r="G4" t="b">
        <f>A4&gt;$B$1</f>
        <v>0</v>
      </c>
      <c r="J4">
        <f>ROUND(10+0.000000000000496,12)</f>
        <v>10.000000000001</v>
      </c>
      <c r="L4" t="b">
        <f>+TRUE</f>
        <v>1</v>
      </c>
    </row>
    <row r="5" spans="1:17" x14ac:dyDescent="0.2">
      <c r="A5">
        <f>1+6*2^-52</f>
        <v>1.0000000000000013</v>
      </c>
      <c r="C5">
        <f>A5-$B$1</f>
        <v>0</v>
      </c>
      <c r="D5">
        <f>(A5-$B$1)*1</f>
        <v>1.3322676295501878E-15</v>
      </c>
      <c r="E5">
        <f>SUM(A5,-$B$1)</f>
        <v>0</v>
      </c>
      <c r="F5" t="b">
        <f>A5=$B$1</f>
        <v>1</v>
      </c>
      <c r="G5" t="b">
        <f>A5&gt;$B$1</f>
        <v>0</v>
      </c>
      <c r="J5">
        <f>ROUND(1234567890123+0.125,2)</f>
        <v>1234567890123.1201</v>
      </c>
      <c r="L5" t="b">
        <f>Z99=FALSE</f>
        <v>1</v>
      </c>
    </row>
    <row r="6" spans="1:17" x14ac:dyDescent="0.2">
      <c r="A6">
        <f>1+7*2^-52</f>
        <v>1.0000000000000016</v>
      </c>
      <c r="C6">
        <f>A6-$B$1</f>
        <v>0</v>
      </c>
      <c r="D6">
        <f>(A6-$B$1)*1</f>
        <v>1.5543122344752192E-15</v>
      </c>
      <c r="E6">
        <f>SUM(A6,-$B$1)</f>
        <v>0</v>
      </c>
      <c r="F6" t="b">
        <f>A6=$B$1</f>
        <v>1</v>
      </c>
      <c r="G6" t="b">
        <f>A6&gt;$B$1</f>
        <v>0</v>
      </c>
      <c r="J6">
        <f>ROUND(2^53,0)</f>
        <v>9007199254740990</v>
      </c>
      <c r="L6">
        <f>2^-1074</f>
        <v>0</v>
      </c>
    </row>
    <row r="7" spans="1:17" x14ac:dyDescent="0.2">
      <c r="A7">
        <f>1+8*2^-52</f>
        <v>1.0000000000000018</v>
      </c>
      <c r="C7">
        <f>A7-$B$1</f>
        <v>1.7763568394002505E-15</v>
      </c>
      <c r="D7">
        <f>(A7-$B$1)*1</f>
        <v>1.7763568394002505E-15</v>
      </c>
      <c r="E7">
        <f>SUM(A7,-$B$1)</f>
        <v>1.7763568394002505E-15</v>
      </c>
      <c r="F7" t="b">
        <f>A7=$B$1</f>
        <v>1</v>
      </c>
      <c r="G7" t="b">
        <f>A7&gt;$B$1</f>
        <v>0</v>
      </c>
      <c r="J7">
        <f>ROUND(1.5*0.15,2)</f>
        <v>0.23</v>
      </c>
      <c r="L7" s="1">
        <f>PMT(0.05,12,1000,0,2)</f>
        <v>-107.45277144839562</v>
      </c>
    </row>
    <row r="8" spans="1:17" x14ac:dyDescent="0.2">
      <c r="A8">
        <f>1+9*2^-52</f>
        <v>1.000000000000002</v>
      </c>
      <c r="C8">
        <f>A8-$B$1</f>
        <v>1.9984014443252818E-15</v>
      </c>
      <c r="D8">
        <f>(A8-$B$1)*1</f>
        <v>1.9984014443252818E-15</v>
      </c>
      <c r="E8">
        <f>SUM(A8,-$B$1)</f>
        <v>1.9984014443252818E-15</v>
      </c>
      <c r="F8" t="b">
        <f>A8=$B$1</f>
        <v>1</v>
      </c>
      <c r="G8" t="b">
        <f>A8&gt;$B$1</f>
        <v>0</v>
      </c>
      <c r="J8">
        <f>ROUND(1/3,20)</f>
        <v>0.33333333333333298</v>
      </c>
      <c r="L8">
        <f>N1+1</f>
        <v>4</v>
      </c>
    </row>
    <row r="9" spans="1:17" x14ac:dyDescent="0.2">
      <c r="A9">
        <f>1+12*2^-52</f>
        <v>1.0000000000000027</v>
      </c>
      <c r="C9">
        <f>A9-$B$1</f>
        <v>2.6645352591003757E-15</v>
      </c>
      <c r="D9">
        <f>(A9-$B$1)*1</f>
        <v>2.6645352591003757E-15</v>
      </c>
      <c r="E9">
        <f>SUM(A9,-$B$1)</f>
        <v>2.6645352591003757E-15</v>
      </c>
      <c r="F9" t="b">
        <f>A9=$B$1</f>
        <v>1</v>
      </c>
      <c r="G9" t="b">
        <f>A9&gt;$B$1</f>
        <v>0</v>
      </c>
      <c r="L9">
        <f>SUM(P1:Q2)</f>
        <v>2E+16</v>
      </c>
    </row>
    <row r="10" spans="1:17" x14ac:dyDescent="0.2">
      <c r="A10">
        <f>1+16*2^-52</f>
        <v>1.0000000000000036</v>
      </c>
      <c r="C10">
        <f>A10-$B$1</f>
        <v>3.5527136788005009E-15</v>
      </c>
      <c r="D10">
        <f>(A10-$B$1)*1</f>
        <v>3.5527136788005009E-15</v>
      </c>
      <c r="E10">
        <f>SUM(A10,-$B$1)</f>
        <v>3.5527136788005009E-15</v>
      </c>
      <c r="F10" t="b">
        <f>A10=$B$1</f>
        <v>1</v>
      </c>
      <c r="G10" t="b">
        <f>A10&gt;$B$1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2026-10-01T23:30:00Z</dcterms:created>
  <dcterms:modified xsi:type="dcterms:W3CDTF">2026-10-01T23:32:17Z</dcterms:modified>
</cp:coreProperties>
</file>