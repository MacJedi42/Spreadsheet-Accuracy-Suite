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6979171-DCB7-4267-9001-FDD41BC8581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7" i="1" l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7"/>
  <sheetViews>
    <sheetView tabSelected="1" workbookViewId="0"/>
  </sheetViews>
  <sheetFormatPr defaultRowHeight="14.25" x14ac:dyDescent="0.25"/>
  <sheetData>
    <row r="1" spans="1:26" ht="15" x14ac:dyDescent="0.25">
      <c r="A1">
        <v>4.1666666666666666E-3</v>
      </c>
      <c r="B1">
        <v>360</v>
      </c>
      <c r="C1">
        <v>200000</v>
      </c>
      <c r="Z1">
        <f>PMT(A1,B1,C1)</f>
        <v>-1073.6432460242781</v>
      </c>
    </row>
    <row r="2" spans="1:26" ht="15" x14ac:dyDescent="0.25">
      <c r="A2">
        <v>4.1666666666666666E-3</v>
      </c>
      <c r="B2">
        <v>360</v>
      </c>
      <c r="C2">
        <v>200000</v>
      </c>
      <c r="Z2">
        <f>PMT(A2,B2,-C2)</f>
        <v>1073.6432460242781</v>
      </c>
    </row>
    <row r="3" spans="1:26" ht="15" x14ac:dyDescent="0.25">
      <c r="A3">
        <v>4.1666666666666666E-3</v>
      </c>
      <c r="B3">
        <v>360</v>
      </c>
      <c r="C3">
        <v>200000</v>
      </c>
      <c r="Z3">
        <f>PMT(A3,B3,C3)*B3</f>
        <v>-386511.56856874016</v>
      </c>
    </row>
    <row r="4" spans="1:26" ht="15" x14ac:dyDescent="0.25">
      <c r="A4">
        <v>4.1666666666666666E-3</v>
      </c>
      <c r="B4">
        <v>360</v>
      </c>
      <c r="C4">
        <v>200000</v>
      </c>
      <c r="Z4">
        <f>ROUND(PMT(A4,B4,C4),2)</f>
        <v>-1073.6400000000001</v>
      </c>
    </row>
    <row r="5" spans="1:26" ht="15" x14ac:dyDescent="0.25">
      <c r="A5">
        <v>4.1666666666666666E-3</v>
      </c>
      <c r="B5">
        <v>360</v>
      </c>
      <c r="C5">
        <v>200000</v>
      </c>
      <c r="D5">
        <v>1000</v>
      </c>
      <c r="E5">
        <v>0</v>
      </c>
      <c r="Z5">
        <f t="shared" ref="Z5:Z10" si="0">PMT(A5,B5,C5,D5,E5)</f>
        <v>-1074.8447955877327</v>
      </c>
    </row>
    <row r="6" spans="1:26" ht="15" x14ac:dyDescent="0.25">
      <c r="A6">
        <v>4.1666666666666666E-3</v>
      </c>
      <c r="B6">
        <v>360</v>
      </c>
      <c r="C6">
        <v>200000</v>
      </c>
      <c r="D6">
        <v>0</v>
      </c>
      <c r="E6">
        <v>1</v>
      </c>
      <c r="Z6">
        <f t="shared" si="0"/>
        <v>-1069.1882947959616</v>
      </c>
    </row>
    <row r="7" spans="1:26" ht="15" x14ac:dyDescent="0.25">
      <c r="A7">
        <v>4.1666666666666666E-3</v>
      </c>
      <c r="B7">
        <v>360</v>
      </c>
      <c r="C7">
        <v>200000</v>
      </c>
      <c r="D7">
        <v>500</v>
      </c>
      <c r="E7">
        <v>1</v>
      </c>
      <c r="Z7">
        <f t="shared" si="0"/>
        <v>-1069.7865767362709</v>
      </c>
    </row>
    <row r="8" spans="1:26" ht="15" x14ac:dyDescent="0.25">
      <c r="A8">
        <v>4.1666666666666666E-3</v>
      </c>
      <c r="B8">
        <v>360</v>
      </c>
      <c r="C8">
        <v>200000</v>
      </c>
      <c r="D8">
        <v>0</v>
      </c>
      <c r="E8">
        <v>2</v>
      </c>
      <c r="Z8">
        <f t="shared" si="0"/>
        <v>-1069.1882947959616</v>
      </c>
    </row>
    <row r="9" spans="1:26" ht="15" x14ac:dyDescent="0.25">
      <c r="A9">
        <v>4.1666666666666666E-3</v>
      </c>
      <c r="B9">
        <v>360</v>
      </c>
      <c r="C9">
        <v>200000</v>
      </c>
      <c r="D9">
        <v>0</v>
      </c>
      <c r="E9">
        <v>-1</v>
      </c>
      <c r="Z9">
        <f t="shared" si="0"/>
        <v>-1069.1882947959616</v>
      </c>
    </row>
    <row r="10" spans="1:26" ht="15" x14ac:dyDescent="0.25">
      <c r="A10">
        <v>4.1666666666666666E-3</v>
      </c>
      <c r="B10">
        <v>360</v>
      </c>
      <c r="C10">
        <v>200000</v>
      </c>
      <c r="D10">
        <v>0</v>
      </c>
      <c r="E10">
        <v>0.5</v>
      </c>
      <c r="Z10">
        <f t="shared" si="0"/>
        <v>-1069.1882947959616</v>
      </c>
    </row>
    <row r="11" spans="1:26" ht="15" x14ac:dyDescent="0.25">
      <c r="A11">
        <v>0.08</v>
      </c>
      <c r="B11">
        <v>10</v>
      </c>
      <c r="C11">
        <v>10000</v>
      </c>
      <c r="Z11">
        <f>PMT(A11,B11,C11)</f>
        <v>-1490.2948869707541</v>
      </c>
    </row>
    <row r="12" spans="1:26" ht="15" x14ac:dyDescent="0.25">
      <c r="A12">
        <v>0.08</v>
      </c>
      <c r="B12">
        <v>10</v>
      </c>
      <c r="C12">
        <v>10000</v>
      </c>
      <c r="Z12">
        <f>PMT(A12,B12,-C12)</f>
        <v>1490.2948869707541</v>
      </c>
    </row>
    <row r="13" spans="1:26" ht="15" x14ac:dyDescent="0.25">
      <c r="A13">
        <v>0.08</v>
      </c>
      <c r="B13">
        <v>10</v>
      </c>
      <c r="C13">
        <v>10000</v>
      </c>
      <c r="Z13">
        <f>PMT(A13,B13,C13)*B13</f>
        <v>-14902.948869707541</v>
      </c>
    </row>
    <row r="14" spans="1:26" ht="15" x14ac:dyDescent="0.25">
      <c r="A14">
        <v>0.08</v>
      </c>
      <c r="B14">
        <v>10</v>
      </c>
      <c r="C14">
        <v>10000</v>
      </c>
      <c r="Z14">
        <f>ROUND(PMT(A14,B14,C14),2)</f>
        <v>-1490.29</v>
      </c>
    </row>
    <row r="15" spans="1:26" ht="15" x14ac:dyDescent="0.25">
      <c r="A15">
        <v>0.08</v>
      </c>
      <c r="B15">
        <v>10</v>
      </c>
      <c r="C15">
        <v>10000</v>
      </c>
      <c r="D15">
        <v>1000</v>
      </c>
      <c r="E15">
        <v>0</v>
      </c>
      <c r="Z15">
        <f t="shared" ref="Z15:Z20" si="1">PMT(A15,B15,C15,D15,E15)</f>
        <v>-1559.3243756678296</v>
      </c>
    </row>
    <row r="16" spans="1:26" ht="15" x14ac:dyDescent="0.25">
      <c r="A16">
        <v>0.08</v>
      </c>
      <c r="B16">
        <v>10</v>
      </c>
      <c r="C16">
        <v>10000</v>
      </c>
      <c r="D16">
        <v>0</v>
      </c>
      <c r="E16">
        <v>1</v>
      </c>
      <c r="Z16">
        <f t="shared" si="1"/>
        <v>-1379.9026731210683</v>
      </c>
    </row>
    <row r="17" spans="1:26" ht="15" x14ac:dyDescent="0.25">
      <c r="A17">
        <v>0.08</v>
      </c>
      <c r="B17">
        <v>10</v>
      </c>
      <c r="C17">
        <v>10000</v>
      </c>
      <c r="D17">
        <v>500</v>
      </c>
      <c r="E17">
        <v>1</v>
      </c>
      <c r="Z17">
        <f t="shared" si="1"/>
        <v>-1411.8607697400848</v>
      </c>
    </row>
    <row r="18" spans="1:26" ht="15" x14ac:dyDescent="0.25">
      <c r="A18">
        <v>0.08</v>
      </c>
      <c r="B18">
        <v>10</v>
      </c>
      <c r="C18">
        <v>10000</v>
      </c>
      <c r="D18">
        <v>0</v>
      </c>
      <c r="E18">
        <v>2</v>
      </c>
      <c r="Z18">
        <f t="shared" si="1"/>
        <v>-1379.9026731210683</v>
      </c>
    </row>
    <row r="19" spans="1:26" ht="15" x14ac:dyDescent="0.25">
      <c r="A19">
        <v>0.08</v>
      </c>
      <c r="B19">
        <v>10</v>
      </c>
      <c r="C19">
        <v>10000</v>
      </c>
      <c r="D19">
        <v>0</v>
      </c>
      <c r="E19">
        <v>-1</v>
      </c>
      <c r="Z19">
        <f t="shared" si="1"/>
        <v>-1379.9026731210683</v>
      </c>
    </row>
    <row r="20" spans="1:26" ht="15" x14ac:dyDescent="0.25">
      <c r="A20">
        <v>0.08</v>
      </c>
      <c r="B20">
        <v>10</v>
      </c>
      <c r="C20">
        <v>10000</v>
      </c>
      <c r="D20">
        <v>0</v>
      </c>
      <c r="E20">
        <v>0.5</v>
      </c>
      <c r="Z20">
        <f t="shared" si="1"/>
        <v>-1379.9026731210683</v>
      </c>
    </row>
    <row r="21" spans="1:26" ht="15" x14ac:dyDescent="0.25">
      <c r="A21">
        <v>0</v>
      </c>
      <c r="B21">
        <v>12</v>
      </c>
      <c r="C21">
        <v>1200</v>
      </c>
      <c r="Z21">
        <f>PMT(A21,B21,C21)</f>
        <v>-100</v>
      </c>
    </row>
    <row r="22" spans="1:26" ht="15" x14ac:dyDescent="0.25">
      <c r="A22">
        <v>0</v>
      </c>
      <c r="B22">
        <v>12</v>
      </c>
      <c r="C22">
        <v>1200</v>
      </c>
      <c r="Z22">
        <f>PMT(A22,B22,-C22)</f>
        <v>100</v>
      </c>
    </row>
    <row r="23" spans="1:26" ht="15" x14ac:dyDescent="0.25">
      <c r="A23">
        <v>0</v>
      </c>
      <c r="B23">
        <v>12</v>
      </c>
      <c r="C23">
        <v>1200</v>
      </c>
      <c r="Z23">
        <f>PMT(A23,B23,C23)*B23</f>
        <v>-1200</v>
      </c>
    </row>
    <row r="24" spans="1:26" ht="15" x14ac:dyDescent="0.25">
      <c r="A24">
        <v>0</v>
      </c>
      <c r="B24">
        <v>12</v>
      </c>
      <c r="C24">
        <v>1200</v>
      </c>
      <c r="Z24">
        <f>ROUND(PMT(A24,B24,C24),2)</f>
        <v>-100</v>
      </c>
    </row>
    <row r="25" spans="1:26" ht="15" x14ac:dyDescent="0.25">
      <c r="A25">
        <v>0</v>
      </c>
      <c r="B25">
        <v>12</v>
      </c>
      <c r="C25">
        <v>1200</v>
      </c>
      <c r="D25">
        <v>1000</v>
      </c>
      <c r="E25">
        <v>0</v>
      </c>
      <c r="Z25">
        <f t="shared" ref="Z25:Z30" si="2">PMT(A25,B25,C25,D25,E25)</f>
        <v>-183.33333333333334</v>
      </c>
    </row>
    <row r="26" spans="1:26" ht="15" x14ac:dyDescent="0.25">
      <c r="A26">
        <v>0</v>
      </c>
      <c r="B26">
        <v>12</v>
      </c>
      <c r="C26">
        <v>1200</v>
      </c>
      <c r="D26">
        <v>0</v>
      </c>
      <c r="E26">
        <v>1</v>
      </c>
      <c r="Z26">
        <f t="shared" si="2"/>
        <v>-100</v>
      </c>
    </row>
    <row r="27" spans="1:26" ht="15" x14ac:dyDescent="0.25">
      <c r="A27">
        <v>0</v>
      </c>
      <c r="B27">
        <v>12</v>
      </c>
      <c r="C27">
        <v>1200</v>
      </c>
      <c r="D27">
        <v>500</v>
      </c>
      <c r="E27">
        <v>1</v>
      </c>
      <c r="Z27">
        <f t="shared" si="2"/>
        <v>-141.66666666666666</v>
      </c>
    </row>
    <row r="28" spans="1:26" ht="15" x14ac:dyDescent="0.25">
      <c r="A28">
        <v>0</v>
      </c>
      <c r="B28">
        <v>12</v>
      </c>
      <c r="C28">
        <v>1200</v>
      </c>
      <c r="D28">
        <v>0</v>
      </c>
      <c r="E28">
        <v>2</v>
      </c>
      <c r="Z28">
        <f t="shared" si="2"/>
        <v>-100</v>
      </c>
    </row>
    <row r="29" spans="1:26" ht="15" x14ac:dyDescent="0.25">
      <c r="A29">
        <v>0</v>
      </c>
      <c r="B29">
        <v>12</v>
      </c>
      <c r="C29">
        <v>1200</v>
      </c>
      <c r="D29">
        <v>0</v>
      </c>
      <c r="E29">
        <v>-1</v>
      </c>
      <c r="Z29">
        <f t="shared" si="2"/>
        <v>-100</v>
      </c>
    </row>
    <row r="30" spans="1:26" ht="15" x14ac:dyDescent="0.25">
      <c r="A30">
        <v>0</v>
      </c>
      <c r="B30">
        <v>12</v>
      </c>
      <c r="C30">
        <v>1200</v>
      </c>
      <c r="D30">
        <v>0</v>
      </c>
      <c r="E30">
        <v>0.5</v>
      </c>
      <c r="Z30">
        <f t="shared" si="2"/>
        <v>-100</v>
      </c>
    </row>
    <row r="31" spans="1:26" ht="15" x14ac:dyDescent="0.25">
      <c r="A31">
        <v>0.05</v>
      </c>
      <c r="B31">
        <v>0</v>
      </c>
      <c r="C31">
        <v>100</v>
      </c>
      <c r="Z31" t="e">
        <f>PMT(A31,B31,C31)</f>
        <v>#NUM!</v>
      </c>
    </row>
    <row r="32" spans="1:26" ht="15" x14ac:dyDescent="0.25">
      <c r="A32">
        <v>0.05</v>
      </c>
      <c r="B32">
        <v>0</v>
      </c>
      <c r="C32">
        <v>100</v>
      </c>
      <c r="Z32" t="e">
        <f>PMT(A32,B32,-C32)</f>
        <v>#NUM!</v>
      </c>
    </row>
    <row r="33" spans="1:26" ht="15" x14ac:dyDescent="0.25">
      <c r="A33">
        <v>0.05</v>
      </c>
      <c r="B33">
        <v>0</v>
      </c>
      <c r="C33">
        <v>100</v>
      </c>
      <c r="Z33" t="e">
        <f>PMT(A33,B33,C33)*B33</f>
        <v>#NUM!</v>
      </c>
    </row>
    <row r="34" spans="1:26" ht="15" x14ac:dyDescent="0.25">
      <c r="A34">
        <v>0.05</v>
      </c>
      <c r="B34">
        <v>0</v>
      </c>
      <c r="C34">
        <v>100</v>
      </c>
      <c r="Z34" t="e">
        <f>ROUND(PMT(A34,B34,C34),2)</f>
        <v>#NUM!</v>
      </c>
    </row>
    <row r="35" spans="1:26" ht="15" x14ac:dyDescent="0.25">
      <c r="A35">
        <v>0.05</v>
      </c>
      <c r="B35">
        <v>0</v>
      </c>
      <c r="C35">
        <v>100</v>
      </c>
      <c r="D35">
        <v>1000</v>
      </c>
      <c r="E35">
        <v>0</v>
      </c>
      <c r="Z35" t="e">
        <f t="shared" ref="Z35:Z40" si="3">PMT(A35,B35,C35,D35,E35)</f>
        <v>#NUM!</v>
      </c>
    </row>
    <row r="36" spans="1:26" ht="15" x14ac:dyDescent="0.25">
      <c r="A36">
        <v>0.05</v>
      </c>
      <c r="B36">
        <v>0</v>
      </c>
      <c r="C36">
        <v>100</v>
      </c>
      <c r="D36">
        <v>0</v>
      </c>
      <c r="E36">
        <v>1</v>
      </c>
      <c r="Z36" t="e">
        <f t="shared" si="3"/>
        <v>#NUM!</v>
      </c>
    </row>
    <row r="37" spans="1:26" ht="15" x14ac:dyDescent="0.25">
      <c r="A37">
        <v>0.05</v>
      </c>
      <c r="B37">
        <v>0</v>
      </c>
      <c r="C37">
        <v>100</v>
      </c>
      <c r="D37">
        <v>500</v>
      </c>
      <c r="E37">
        <v>1</v>
      </c>
      <c r="Z37" t="e">
        <f t="shared" si="3"/>
        <v>#NUM!</v>
      </c>
    </row>
    <row r="38" spans="1:26" ht="15" x14ac:dyDescent="0.25">
      <c r="A38">
        <v>0.05</v>
      </c>
      <c r="B38">
        <v>0</v>
      </c>
      <c r="C38">
        <v>100</v>
      </c>
      <c r="D38">
        <v>0</v>
      </c>
      <c r="E38">
        <v>2</v>
      </c>
      <c r="Z38" t="e">
        <f t="shared" si="3"/>
        <v>#NUM!</v>
      </c>
    </row>
    <row r="39" spans="1:26" ht="15" x14ac:dyDescent="0.25">
      <c r="A39">
        <v>0.05</v>
      </c>
      <c r="B39">
        <v>0</v>
      </c>
      <c r="C39">
        <v>100</v>
      </c>
      <c r="D39">
        <v>0</v>
      </c>
      <c r="E39">
        <v>-1</v>
      </c>
      <c r="Z39" t="e">
        <f t="shared" si="3"/>
        <v>#NUM!</v>
      </c>
    </row>
    <row r="40" spans="1:26" ht="15" x14ac:dyDescent="0.25">
      <c r="A40">
        <v>0.05</v>
      </c>
      <c r="B40">
        <v>0</v>
      </c>
      <c r="C40">
        <v>100</v>
      </c>
      <c r="D40">
        <v>0</v>
      </c>
      <c r="E40">
        <v>0.5</v>
      </c>
      <c r="Z40" t="e">
        <f t="shared" si="3"/>
        <v>#NUM!</v>
      </c>
    </row>
    <row r="41" spans="1:26" ht="15" x14ac:dyDescent="0.25">
      <c r="A41">
        <v>0.1</v>
      </c>
      <c r="B41">
        <v>5</v>
      </c>
      <c r="C41">
        <v>-1000</v>
      </c>
      <c r="Z41">
        <f>PMT(A41,B41,C41)</f>
        <v>263.79748079474541</v>
      </c>
    </row>
    <row r="42" spans="1:26" ht="15" x14ac:dyDescent="0.25">
      <c r="A42">
        <v>0.1</v>
      </c>
      <c r="B42">
        <v>5</v>
      </c>
      <c r="C42">
        <v>-1000</v>
      </c>
      <c r="Z42">
        <f>PMT(A42,B42,-C42)</f>
        <v>-263.79748079474541</v>
      </c>
    </row>
    <row r="43" spans="1:26" ht="15" x14ac:dyDescent="0.25">
      <c r="A43">
        <v>0.1</v>
      </c>
      <c r="B43">
        <v>5</v>
      </c>
      <c r="C43">
        <v>-1000</v>
      </c>
      <c r="Z43">
        <f>PMT(A43,B43,C43)*B43</f>
        <v>1318.9874039737269</v>
      </c>
    </row>
    <row r="44" spans="1:26" ht="15" x14ac:dyDescent="0.25">
      <c r="A44">
        <v>0.1</v>
      </c>
      <c r="B44">
        <v>5</v>
      </c>
      <c r="C44">
        <v>-1000</v>
      </c>
      <c r="Z44">
        <f>ROUND(PMT(A44,B44,C44),2)</f>
        <v>263.8</v>
      </c>
    </row>
    <row r="45" spans="1:26" ht="15" x14ac:dyDescent="0.25">
      <c r="A45">
        <v>0.1</v>
      </c>
      <c r="B45">
        <v>5</v>
      </c>
      <c r="C45">
        <v>-1000</v>
      </c>
      <c r="D45">
        <v>1000</v>
      </c>
      <c r="E45">
        <v>0</v>
      </c>
      <c r="Z45">
        <f t="shared" ref="Z45:Z50" si="4">PMT(A45,B45,C45,D45,E45)</f>
        <v>100</v>
      </c>
    </row>
    <row r="46" spans="1:26" ht="15" x14ac:dyDescent="0.25">
      <c r="A46">
        <v>0.1</v>
      </c>
      <c r="B46">
        <v>5</v>
      </c>
      <c r="C46">
        <v>-1000</v>
      </c>
      <c r="D46">
        <v>0</v>
      </c>
      <c r="E46">
        <v>1</v>
      </c>
      <c r="Z46">
        <f t="shared" si="4"/>
        <v>239.81589163158674</v>
      </c>
    </row>
    <row r="47" spans="1:26" ht="15" x14ac:dyDescent="0.25">
      <c r="A47">
        <v>0.1</v>
      </c>
      <c r="B47">
        <v>5</v>
      </c>
      <c r="C47">
        <v>-1000</v>
      </c>
      <c r="D47">
        <v>500</v>
      </c>
      <c r="E47">
        <v>1</v>
      </c>
      <c r="Z47">
        <f t="shared" si="4"/>
        <v>165.36249127033881</v>
      </c>
    </row>
    <row r="48" spans="1:26" ht="15" x14ac:dyDescent="0.25">
      <c r="A48">
        <v>0.1</v>
      </c>
      <c r="B48">
        <v>5</v>
      </c>
      <c r="C48">
        <v>-1000</v>
      </c>
      <c r="D48">
        <v>0</v>
      </c>
      <c r="E48">
        <v>2</v>
      </c>
      <c r="Z48">
        <f t="shared" si="4"/>
        <v>239.81589163158674</v>
      </c>
    </row>
    <row r="49" spans="1:26" ht="15" x14ac:dyDescent="0.25">
      <c r="A49">
        <v>0.1</v>
      </c>
      <c r="B49">
        <v>5</v>
      </c>
      <c r="C49">
        <v>-1000</v>
      </c>
      <c r="D49">
        <v>0</v>
      </c>
      <c r="E49">
        <v>-1</v>
      </c>
      <c r="Z49">
        <f t="shared" si="4"/>
        <v>239.81589163158674</v>
      </c>
    </row>
    <row r="50" spans="1:26" ht="15" x14ac:dyDescent="0.25">
      <c r="A50">
        <v>0.1</v>
      </c>
      <c r="B50">
        <v>5</v>
      </c>
      <c r="C50">
        <v>-1000</v>
      </c>
      <c r="D50">
        <v>0</v>
      </c>
      <c r="E50">
        <v>0.5</v>
      </c>
      <c r="Z50">
        <f t="shared" si="4"/>
        <v>239.81589163158674</v>
      </c>
    </row>
    <row r="51" spans="1:26" ht="15" x14ac:dyDescent="0.25">
      <c r="A51">
        <v>1.0000000000000001E-9</v>
      </c>
      <c r="B51">
        <v>360</v>
      </c>
      <c r="C51">
        <v>100000</v>
      </c>
      <c r="Z51">
        <f>PMT(A51,B51,C51)</f>
        <v>-277.77782791666971</v>
      </c>
    </row>
    <row r="52" spans="1:26" ht="15" x14ac:dyDescent="0.25">
      <c r="A52">
        <v>1.0000000000000001E-9</v>
      </c>
      <c r="B52">
        <v>360</v>
      </c>
      <c r="C52">
        <v>100000</v>
      </c>
      <c r="Z52">
        <f>PMT(A52,B52,-C52)</f>
        <v>277.77782791666971</v>
      </c>
    </row>
    <row r="53" spans="1:26" ht="15" x14ac:dyDescent="0.25">
      <c r="A53">
        <v>1.0000000000000001E-9</v>
      </c>
      <c r="B53">
        <v>360</v>
      </c>
      <c r="C53">
        <v>100000</v>
      </c>
      <c r="Z53">
        <f>PMT(A53,B53,C53)*B53</f>
        <v>-100000.01805000109</v>
      </c>
    </row>
    <row r="54" spans="1:26" ht="15" x14ac:dyDescent="0.25">
      <c r="A54">
        <v>1.0000000000000001E-9</v>
      </c>
      <c r="B54">
        <v>360</v>
      </c>
      <c r="C54">
        <v>100000</v>
      </c>
      <c r="Z54">
        <f>ROUND(PMT(A54,B54,C54),2)</f>
        <v>-277.77999999999997</v>
      </c>
    </row>
    <row r="55" spans="1:26" ht="15" x14ac:dyDescent="0.25">
      <c r="A55">
        <v>1.0000000000000001E-9</v>
      </c>
      <c r="B55">
        <v>360</v>
      </c>
      <c r="C55">
        <v>100000</v>
      </c>
      <c r="D55">
        <v>1000</v>
      </c>
      <c r="E55">
        <v>0</v>
      </c>
      <c r="Z55">
        <f t="shared" ref="Z55:Z60" si="5">PMT(A55,B55,C55,D55,E55)</f>
        <v>-280.55560519583645</v>
      </c>
    </row>
    <row r="56" spans="1:26" ht="15" x14ac:dyDescent="0.25">
      <c r="A56">
        <v>1.0000000000000001E-9</v>
      </c>
      <c r="B56">
        <v>360</v>
      </c>
      <c r="C56">
        <v>100000</v>
      </c>
      <c r="D56">
        <v>0</v>
      </c>
      <c r="E56">
        <v>1</v>
      </c>
      <c r="Z56">
        <f t="shared" si="5"/>
        <v>-277.77782763889189</v>
      </c>
    </row>
    <row r="57" spans="1:26" ht="15" x14ac:dyDescent="0.25">
      <c r="A57">
        <v>1.0000000000000001E-9</v>
      </c>
      <c r="B57">
        <v>360</v>
      </c>
      <c r="C57">
        <v>100000</v>
      </c>
      <c r="D57">
        <v>500</v>
      </c>
      <c r="E57">
        <v>1</v>
      </c>
      <c r="Z57">
        <f t="shared" si="5"/>
        <v>-279.16671627708638</v>
      </c>
    </row>
    <row r="58" spans="1:26" ht="15" x14ac:dyDescent="0.25">
      <c r="A58">
        <v>1.0000000000000001E-9</v>
      </c>
      <c r="B58">
        <v>360</v>
      </c>
      <c r="C58">
        <v>100000</v>
      </c>
      <c r="D58">
        <v>0</v>
      </c>
      <c r="E58">
        <v>2</v>
      </c>
      <c r="Z58">
        <f t="shared" si="5"/>
        <v>-277.77782763889189</v>
      </c>
    </row>
    <row r="59" spans="1:26" ht="15" x14ac:dyDescent="0.25">
      <c r="A59">
        <v>1.0000000000000001E-9</v>
      </c>
      <c r="B59">
        <v>360</v>
      </c>
      <c r="C59">
        <v>100000</v>
      </c>
      <c r="D59">
        <v>0</v>
      </c>
      <c r="E59">
        <v>-1</v>
      </c>
      <c r="Z59">
        <f t="shared" si="5"/>
        <v>-277.77782763889189</v>
      </c>
    </row>
    <row r="60" spans="1:26" ht="15" x14ac:dyDescent="0.25">
      <c r="A60">
        <v>1.0000000000000001E-9</v>
      </c>
      <c r="B60">
        <v>360</v>
      </c>
      <c r="C60">
        <v>100000</v>
      </c>
      <c r="D60">
        <v>0</v>
      </c>
      <c r="E60">
        <v>0.5</v>
      </c>
      <c r="Z60">
        <f t="shared" si="5"/>
        <v>-277.77782763889189</v>
      </c>
    </row>
    <row r="61" spans="1:26" ht="15" x14ac:dyDescent="0.25">
      <c r="A61">
        <v>0.5</v>
      </c>
      <c r="B61">
        <v>100</v>
      </c>
      <c r="C61">
        <v>1</v>
      </c>
      <c r="Z61">
        <f>PMT(A61,B61,C61)</f>
        <v>-0.5</v>
      </c>
    </row>
    <row r="62" spans="1:26" ht="15" x14ac:dyDescent="0.25">
      <c r="A62">
        <v>0.5</v>
      </c>
      <c r="B62">
        <v>100</v>
      </c>
      <c r="C62">
        <v>1</v>
      </c>
      <c r="Z62">
        <f>PMT(A62,B62,-C62)</f>
        <v>0.5</v>
      </c>
    </row>
    <row r="63" spans="1:26" ht="15" x14ac:dyDescent="0.25">
      <c r="A63">
        <v>0.5</v>
      </c>
      <c r="B63">
        <v>100</v>
      </c>
      <c r="C63">
        <v>1</v>
      </c>
      <c r="Z63">
        <f>PMT(A63,B63,C63)*B63</f>
        <v>-50</v>
      </c>
    </row>
    <row r="64" spans="1:26" ht="15" x14ac:dyDescent="0.25">
      <c r="A64">
        <v>0.5</v>
      </c>
      <c r="B64">
        <v>100</v>
      </c>
      <c r="C64">
        <v>1</v>
      </c>
      <c r="Z64">
        <f>ROUND(PMT(A64,B64,C64),2)</f>
        <v>-0.5</v>
      </c>
    </row>
    <row r="65" spans="1:26" ht="15" x14ac:dyDescent="0.25">
      <c r="A65">
        <v>0.5</v>
      </c>
      <c r="B65">
        <v>100</v>
      </c>
      <c r="C65">
        <v>1</v>
      </c>
      <c r="D65">
        <v>1000</v>
      </c>
      <c r="E65">
        <v>0</v>
      </c>
      <c r="Z65">
        <f t="shared" ref="Z65:Z70" si="6">PMT(A65,B65,C65,D65,E65)</f>
        <v>-0.5</v>
      </c>
    </row>
    <row r="66" spans="1:26" ht="15" x14ac:dyDescent="0.25">
      <c r="A66">
        <v>0.5</v>
      </c>
      <c r="B66">
        <v>100</v>
      </c>
      <c r="C66">
        <v>1</v>
      </c>
      <c r="D66">
        <v>0</v>
      </c>
      <c r="E66">
        <v>1</v>
      </c>
      <c r="Z66">
        <f t="shared" si="6"/>
        <v>-0.33333333333333331</v>
      </c>
    </row>
    <row r="67" spans="1:26" ht="15" x14ac:dyDescent="0.25">
      <c r="A67">
        <v>0.5</v>
      </c>
      <c r="B67">
        <v>100</v>
      </c>
      <c r="C67">
        <v>1</v>
      </c>
      <c r="D67">
        <v>500</v>
      </c>
      <c r="E67">
        <v>1</v>
      </c>
      <c r="Z67">
        <f t="shared" si="6"/>
        <v>-0.33333333333333331</v>
      </c>
    </row>
    <row r="68" spans="1:26" ht="15" x14ac:dyDescent="0.25">
      <c r="A68">
        <v>0.5</v>
      </c>
      <c r="B68">
        <v>100</v>
      </c>
      <c r="C68">
        <v>1</v>
      </c>
      <c r="D68">
        <v>0</v>
      </c>
      <c r="E68">
        <v>2</v>
      </c>
      <c r="Z68">
        <f t="shared" si="6"/>
        <v>-0.33333333333333331</v>
      </c>
    </row>
    <row r="69" spans="1:26" ht="15" x14ac:dyDescent="0.25">
      <c r="A69">
        <v>0.5</v>
      </c>
      <c r="B69">
        <v>100</v>
      </c>
      <c r="C69">
        <v>1</v>
      </c>
      <c r="D69">
        <v>0</v>
      </c>
      <c r="E69">
        <v>-1</v>
      </c>
      <c r="Z69">
        <f t="shared" si="6"/>
        <v>-0.33333333333333331</v>
      </c>
    </row>
    <row r="70" spans="1:26" ht="15" x14ac:dyDescent="0.25">
      <c r="A70">
        <v>0.5</v>
      </c>
      <c r="B70">
        <v>100</v>
      </c>
      <c r="C70">
        <v>1</v>
      </c>
      <c r="D70">
        <v>0</v>
      </c>
      <c r="E70">
        <v>0.5</v>
      </c>
      <c r="Z70">
        <f t="shared" si="6"/>
        <v>-0.33333333333333331</v>
      </c>
    </row>
    <row r="71" spans="1:26" ht="15" x14ac:dyDescent="0.25">
      <c r="A71">
        <v>5.0000000000000001E-3</v>
      </c>
      <c r="B71">
        <v>24</v>
      </c>
      <c r="C71">
        <v>5000</v>
      </c>
      <c r="Z71">
        <f>PMT(A71,B71,C71)</f>
        <v>-221.60305126378447</v>
      </c>
    </row>
    <row r="72" spans="1:26" ht="15" x14ac:dyDescent="0.25">
      <c r="A72">
        <v>5.0000000000000001E-3</v>
      </c>
      <c r="B72">
        <v>24</v>
      </c>
      <c r="C72">
        <v>5000</v>
      </c>
      <c r="Z72">
        <f>PMT(A72,B72,-C72)</f>
        <v>221.60305126378447</v>
      </c>
    </row>
    <row r="73" spans="1:26" ht="15" x14ac:dyDescent="0.25">
      <c r="A73">
        <v>5.0000000000000001E-3</v>
      </c>
      <c r="B73">
        <v>24</v>
      </c>
      <c r="C73">
        <v>5000</v>
      </c>
      <c r="Z73">
        <f>PMT(A73,B73,C73)*B73</f>
        <v>-5318.4732303308274</v>
      </c>
    </row>
    <row r="74" spans="1:26" ht="15" x14ac:dyDescent="0.25">
      <c r="A74">
        <v>5.0000000000000001E-3</v>
      </c>
      <c r="B74">
        <v>24</v>
      </c>
      <c r="C74">
        <v>5000</v>
      </c>
      <c r="Z74">
        <f>ROUND(PMT(A74,B74,C74),2)</f>
        <v>-221.6</v>
      </c>
    </row>
    <row r="75" spans="1:26" ht="15" x14ac:dyDescent="0.25">
      <c r="A75">
        <v>5.0000000000000001E-3</v>
      </c>
      <c r="B75">
        <v>24</v>
      </c>
      <c r="C75">
        <v>5000</v>
      </c>
      <c r="D75">
        <v>1000</v>
      </c>
      <c r="E75">
        <v>0</v>
      </c>
      <c r="Z75">
        <f t="shared" ref="Z75:Z80" si="7">PMT(A75,B75,C75,D75,E75)</f>
        <v>-260.92366151654136</v>
      </c>
    </row>
    <row r="76" spans="1:26" ht="15" x14ac:dyDescent="0.25">
      <c r="A76">
        <v>5.0000000000000001E-3</v>
      </c>
      <c r="B76">
        <v>24</v>
      </c>
      <c r="C76">
        <v>5000</v>
      </c>
      <c r="D76">
        <v>0</v>
      </c>
      <c r="E76">
        <v>1</v>
      </c>
      <c r="Z76">
        <f t="shared" si="7"/>
        <v>-220.50054852117859</v>
      </c>
    </row>
    <row r="77" spans="1:26" ht="15" x14ac:dyDescent="0.25">
      <c r="A77">
        <v>5.0000000000000001E-3</v>
      </c>
      <c r="B77">
        <v>24</v>
      </c>
      <c r="C77">
        <v>5000</v>
      </c>
      <c r="D77">
        <v>500</v>
      </c>
      <c r="E77">
        <v>1</v>
      </c>
      <c r="Z77">
        <f t="shared" si="7"/>
        <v>-240.06304118424171</v>
      </c>
    </row>
    <row r="78" spans="1:26" ht="15" x14ac:dyDescent="0.25">
      <c r="A78">
        <v>5.0000000000000001E-3</v>
      </c>
      <c r="B78">
        <v>24</v>
      </c>
      <c r="C78">
        <v>5000</v>
      </c>
      <c r="D78">
        <v>0</v>
      </c>
      <c r="E78">
        <v>2</v>
      </c>
      <c r="Z78">
        <f t="shared" si="7"/>
        <v>-220.50054852117859</v>
      </c>
    </row>
    <row r="79" spans="1:26" ht="15" x14ac:dyDescent="0.25">
      <c r="A79">
        <v>5.0000000000000001E-3</v>
      </c>
      <c r="B79">
        <v>24</v>
      </c>
      <c r="C79">
        <v>5000</v>
      </c>
      <c r="D79">
        <v>0</v>
      </c>
      <c r="E79">
        <v>-1</v>
      </c>
      <c r="Z79">
        <f t="shared" si="7"/>
        <v>-220.50054852117859</v>
      </c>
    </row>
    <row r="80" spans="1:26" ht="15" x14ac:dyDescent="0.25">
      <c r="A80">
        <v>5.0000000000000001E-3</v>
      </c>
      <c r="B80">
        <v>24</v>
      </c>
      <c r="C80">
        <v>5000</v>
      </c>
      <c r="D80">
        <v>0</v>
      </c>
      <c r="E80">
        <v>0.5</v>
      </c>
      <c r="Z80">
        <f t="shared" si="7"/>
        <v>-220.50054852117859</v>
      </c>
    </row>
    <row r="81" spans="1:26" ht="15" x14ac:dyDescent="0.25">
      <c r="A81">
        <v>3.5416666666666669E-3</v>
      </c>
      <c r="B81">
        <v>60</v>
      </c>
      <c r="C81">
        <v>32000</v>
      </c>
      <c r="Z81">
        <f>PMT(A81,B81,C81)</f>
        <v>-592.94578595852431</v>
      </c>
    </row>
    <row r="82" spans="1:26" ht="15" x14ac:dyDescent="0.25">
      <c r="A82">
        <v>3.5416666666666669E-3</v>
      </c>
      <c r="B82">
        <v>60</v>
      </c>
      <c r="C82">
        <v>32000</v>
      </c>
      <c r="Z82">
        <f>PMT(A82,B82,-C82)</f>
        <v>592.94578595852431</v>
      </c>
    </row>
    <row r="83" spans="1:26" ht="15" x14ac:dyDescent="0.25">
      <c r="A83">
        <v>3.5416666666666669E-3</v>
      </c>
      <c r="B83">
        <v>60</v>
      </c>
      <c r="C83">
        <v>32000</v>
      </c>
      <c r="Z83">
        <f>PMT(A83,B83,C83)*B83</f>
        <v>-35576.747157511461</v>
      </c>
    </row>
    <row r="84" spans="1:26" ht="15" x14ac:dyDescent="0.25">
      <c r="A84">
        <v>3.5416666666666669E-3</v>
      </c>
      <c r="B84">
        <v>60</v>
      </c>
      <c r="C84">
        <v>32000</v>
      </c>
      <c r="Z84">
        <f>ROUND(PMT(A84,B84,C84),2)</f>
        <v>-592.95000000000005</v>
      </c>
    </row>
    <row r="85" spans="1:26" ht="15" x14ac:dyDescent="0.25">
      <c r="A85">
        <v>3.5416666666666669E-3</v>
      </c>
      <c r="B85">
        <v>60</v>
      </c>
      <c r="C85">
        <v>32000</v>
      </c>
      <c r="D85">
        <v>1000</v>
      </c>
      <c r="E85">
        <v>0</v>
      </c>
      <c r="Z85">
        <f t="shared" ref="Z85:Z90" si="8">PMT(A85,B85,C85,D85,E85)</f>
        <v>-607.93367510306155</v>
      </c>
    </row>
    <row r="86" spans="1:26" ht="15" x14ac:dyDescent="0.25">
      <c r="A86">
        <v>3.5416666666666669E-3</v>
      </c>
      <c r="B86">
        <v>60</v>
      </c>
      <c r="C86">
        <v>32000</v>
      </c>
      <c r="D86">
        <v>0</v>
      </c>
      <c r="E86">
        <v>1</v>
      </c>
      <c r="Z86">
        <f t="shared" si="8"/>
        <v>-590.85318094268575</v>
      </c>
    </row>
    <row r="87" spans="1:26" ht="15" x14ac:dyDescent="0.25">
      <c r="A87">
        <v>3.5416666666666669E-3</v>
      </c>
      <c r="B87">
        <v>60</v>
      </c>
      <c r="C87">
        <v>32000</v>
      </c>
      <c r="D87">
        <v>500</v>
      </c>
      <c r="E87">
        <v>1</v>
      </c>
      <c r="Z87">
        <f t="shared" si="8"/>
        <v>-598.32067812908588</v>
      </c>
    </row>
    <row r="88" spans="1:26" ht="15" x14ac:dyDescent="0.25">
      <c r="A88">
        <v>3.5416666666666669E-3</v>
      </c>
      <c r="B88">
        <v>60</v>
      </c>
      <c r="C88">
        <v>32000</v>
      </c>
      <c r="D88">
        <v>0</v>
      </c>
      <c r="E88">
        <v>2</v>
      </c>
      <c r="Z88">
        <f t="shared" si="8"/>
        <v>-590.85318094268575</v>
      </c>
    </row>
    <row r="89" spans="1:26" ht="15" x14ac:dyDescent="0.25">
      <c r="A89">
        <v>3.5416666666666669E-3</v>
      </c>
      <c r="B89">
        <v>60</v>
      </c>
      <c r="C89">
        <v>32000</v>
      </c>
      <c r="D89">
        <v>0</v>
      </c>
      <c r="E89">
        <v>-1</v>
      </c>
      <c r="Z89">
        <f t="shared" si="8"/>
        <v>-590.85318094268575</v>
      </c>
    </row>
    <row r="90" spans="1:26" ht="15" x14ac:dyDescent="0.25">
      <c r="A90">
        <v>3.5416666666666669E-3</v>
      </c>
      <c r="B90">
        <v>60</v>
      </c>
      <c r="C90">
        <v>32000</v>
      </c>
      <c r="D90">
        <v>0</v>
      </c>
      <c r="E90">
        <v>0.5</v>
      </c>
      <c r="Z90">
        <f t="shared" si="8"/>
        <v>-590.85318094268575</v>
      </c>
    </row>
    <row r="91" spans="1:26" ht="15" x14ac:dyDescent="0.25">
      <c r="A91">
        <v>-0.5</v>
      </c>
      <c r="B91">
        <v>10</v>
      </c>
      <c r="C91">
        <v>100</v>
      </c>
      <c r="Z91">
        <f>PMT(A91,B91,C91)</f>
        <v>-4.8875855327468229E-2</v>
      </c>
    </row>
    <row r="92" spans="1:26" ht="15" x14ac:dyDescent="0.25">
      <c r="A92">
        <v>-0.5</v>
      </c>
      <c r="B92">
        <v>10</v>
      </c>
      <c r="C92">
        <v>100</v>
      </c>
      <c r="Z92">
        <f>PMT(A92,B92,-C92)</f>
        <v>4.8875855327468229E-2</v>
      </c>
    </row>
    <row r="93" spans="1:26" ht="15" x14ac:dyDescent="0.25">
      <c r="A93">
        <v>-0.5</v>
      </c>
      <c r="B93">
        <v>10</v>
      </c>
      <c r="C93">
        <v>100</v>
      </c>
      <c r="Z93">
        <f>PMT(A93,B93,C93)*B93</f>
        <v>-0.48875855327468232</v>
      </c>
    </row>
    <row r="94" spans="1:26" ht="15" x14ac:dyDescent="0.25">
      <c r="A94">
        <v>-0.5</v>
      </c>
      <c r="B94">
        <v>10</v>
      </c>
      <c r="C94">
        <v>100</v>
      </c>
      <c r="Z94">
        <f>ROUND(PMT(A94,B94,C94),2)</f>
        <v>-0.05</v>
      </c>
    </row>
    <row r="95" spans="1:26" ht="15" x14ac:dyDescent="0.25">
      <c r="A95">
        <v>-0.5</v>
      </c>
      <c r="B95">
        <v>10</v>
      </c>
      <c r="C95">
        <v>100</v>
      </c>
      <c r="D95">
        <v>1000</v>
      </c>
      <c r="E95">
        <v>0</v>
      </c>
      <c r="Z95">
        <f t="shared" ref="Z95:Z100" si="9">PMT(A95,B95,C95,D95,E95)</f>
        <v>-500.53763440860217</v>
      </c>
    </row>
    <row r="96" spans="1:26" ht="15" x14ac:dyDescent="0.25">
      <c r="A96">
        <v>-0.5</v>
      </c>
      <c r="B96">
        <v>10</v>
      </c>
      <c r="C96">
        <v>100</v>
      </c>
      <c r="D96">
        <v>0</v>
      </c>
      <c r="E96">
        <v>1</v>
      </c>
      <c r="Z96">
        <f t="shared" si="9"/>
        <v>-9.7751710654936458E-2</v>
      </c>
    </row>
    <row r="97" spans="1:26" ht="15" x14ac:dyDescent="0.25">
      <c r="A97">
        <v>-0.5</v>
      </c>
      <c r="B97">
        <v>10</v>
      </c>
      <c r="C97">
        <v>100</v>
      </c>
      <c r="D97">
        <v>500</v>
      </c>
      <c r="E97">
        <v>1</v>
      </c>
      <c r="Z97">
        <f t="shared" si="9"/>
        <v>-500.5865102639296</v>
      </c>
    </row>
    <row r="98" spans="1:26" ht="15" x14ac:dyDescent="0.25">
      <c r="A98">
        <v>-0.5</v>
      </c>
      <c r="B98">
        <v>10</v>
      </c>
      <c r="C98">
        <v>100</v>
      </c>
      <c r="D98">
        <v>0</v>
      </c>
      <c r="E98">
        <v>2</v>
      </c>
      <c r="Z98">
        <f t="shared" si="9"/>
        <v>-9.7751710654936458E-2</v>
      </c>
    </row>
    <row r="99" spans="1:26" ht="15" x14ac:dyDescent="0.25">
      <c r="A99">
        <v>-0.5</v>
      </c>
      <c r="B99">
        <v>10</v>
      </c>
      <c r="C99">
        <v>100</v>
      </c>
      <c r="D99">
        <v>0</v>
      </c>
      <c r="E99">
        <v>-1</v>
      </c>
      <c r="Z99">
        <f t="shared" si="9"/>
        <v>-9.7751710654936458E-2</v>
      </c>
    </row>
    <row r="100" spans="1:26" ht="15" x14ac:dyDescent="0.25">
      <c r="A100">
        <v>-0.5</v>
      </c>
      <c r="B100">
        <v>10</v>
      </c>
      <c r="C100">
        <v>100</v>
      </c>
      <c r="D100">
        <v>0</v>
      </c>
      <c r="E100">
        <v>0.5</v>
      </c>
      <c r="Z100">
        <f t="shared" si="9"/>
        <v>-9.7751710654936458E-2</v>
      </c>
    </row>
    <row r="101" spans="1:26" ht="15" x14ac:dyDescent="0.25">
      <c r="A101">
        <v>0.01</v>
      </c>
      <c r="B101">
        <v>-12</v>
      </c>
      <c r="C101">
        <v>1000</v>
      </c>
      <c r="Z101">
        <f>PMT(A101,B101,C101)</f>
        <v>78.848788678341691</v>
      </c>
    </row>
    <row r="102" spans="1:26" ht="15" x14ac:dyDescent="0.25">
      <c r="A102">
        <v>0.01</v>
      </c>
      <c r="B102">
        <v>-12</v>
      </c>
      <c r="C102">
        <v>1000</v>
      </c>
      <c r="Z102">
        <f>PMT(A102,B102,-C102)</f>
        <v>-78.848788678341691</v>
      </c>
    </row>
    <row r="103" spans="1:26" ht="15" x14ac:dyDescent="0.25">
      <c r="A103">
        <v>0.01</v>
      </c>
      <c r="B103">
        <v>-12</v>
      </c>
      <c r="C103">
        <v>1000</v>
      </c>
      <c r="Z103">
        <f>PMT(A103,B103,C103)*B103</f>
        <v>-946.18546414010029</v>
      </c>
    </row>
    <row r="104" spans="1:26" ht="15" x14ac:dyDescent="0.25">
      <c r="A104">
        <v>0.01</v>
      </c>
      <c r="B104">
        <v>-12</v>
      </c>
      <c r="C104">
        <v>1000</v>
      </c>
      <c r="Z104">
        <f>ROUND(PMT(A104,B104,C104),2)</f>
        <v>78.849999999999994</v>
      </c>
    </row>
    <row r="105" spans="1:26" ht="15" x14ac:dyDescent="0.25">
      <c r="A105">
        <v>0.01</v>
      </c>
      <c r="B105">
        <v>-12</v>
      </c>
      <c r="C105">
        <v>1000</v>
      </c>
      <c r="D105">
        <v>1000</v>
      </c>
      <c r="E105">
        <v>0</v>
      </c>
      <c r="Z105">
        <f t="shared" ref="Z105:Z110" si="10">PMT(A105,B105,C105,D105,E105)</f>
        <v>167.69757735668341</v>
      </c>
    </row>
    <row r="106" spans="1:26" ht="15" x14ac:dyDescent="0.25">
      <c r="A106">
        <v>0.01</v>
      </c>
      <c r="B106">
        <v>-12</v>
      </c>
      <c r="C106">
        <v>1000</v>
      </c>
      <c r="D106">
        <v>0</v>
      </c>
      <c r="E106">
        <v>1</v>
      </c>
      <c r="Z106">
        <f t="shared" si="10"/>
        <v>78.068107602318506</v>
      </c>
    </row>
    <row r="107" spans="1:26" ht="15" x14ac:dyDescent="0.25">
      <c r="A107">
        <v>0.01</v>
      </c>
      <c r="B107">
        <v>-12</v>
      </c>
      <c r="C107">
        <v>1000</v>
      </c>
      <c r="D107">
        <v>500</v>
      </c>
      <c r="E107">
        <v>1</v>
      </c>
      <c r="Z107">
        <f t="shared" si="10"/>
        <v>122.0526564529827</v>
      </c>
    </row>
    <row r="108" spans="1:26" ht="15" x14ac:dyDescent="0.25">
      <c r="A108">
        <v>0.01</v>
      </c>
      <c r="B108">
        <v>-12</v>
      </c>
      <c r="C108">
        <v>1000</v>
      </c>
      <c r="D108">
        <v>0</v>
      </c>
      <c r="E108">
        <v>2</v>
      </c>
      <c r="Z108">
        <f t="shared" si="10"/>
        <v>78.068107602318506</v>
      </c>
    </row>
    <row r="109" spans="1:26" ht="15" x14ac:dyDescent="0.25">
      <c r="A109">
        <v>0.01</v>
      </c>
      <c r="B109">
        <v>-12</v>
      </c>
      <c r="C109">
        <v>1000</v>
      </c>
      <c r="D109">
        <v>0</v>
      </c>
      <c r="E109">
        <v>-1</v>
      </c>
      <c r="Z109">
        <f t="shared" si="10"/>
        <v>78.068107602318506</v>
      </c>
    </row>
    <row r="110" spans="1:26" ht="15" x14ac:dyDescent="0.25">
      <c r="A110">
        <v>0.01</v>
      </c>
      <c r="B110">
        <v>-12</v>
      </c>
      <c r="C110">
        <v>1000</v>
      </c>
      <c r="D110">
        <v>0</v>
      </c>
      <c r="E110">
        <v>0.5</v>
      </c>
      <c r="Z110">
        <f t="shared" si="10"/>
        <v>78.068107602318506</v>
      </c>
    </row>
    <row r="111" spans="1:26" ht="15" x14ac:dyDescent="0.25">
      <c r="A111">
        <v>7.0000000000000007E-2</v>
      </c>
      <c r="B111">
        <v>30</v>
      </c>
      <c r="C111">
        <v>250000</v>
      </c>
      <c r="Z111">
        <f>PMT(A111,B111,C111)</f>
        <v>-20146.600877777801</v>
      </c>
    </row>
    <row r="112" spans="1:26" ht="15" x14ac:dyDescent="0.25">
      <c r="A112">
        <v>7.0000000000000007E-2</v>
      </c>
      <c r="B112">
        <v>30</v>
      </c>
      <c r="C112">
        <v>250000</v>
      </c>
      <c r="Z112">
        <f>PMT(A112,B112,-C112)</f>
        <v>20146.600877777801</v>
      </c>
    </row>
    <row r="113" spans="1:26" ht="15" x14ac:dyDescent="0.25">
      <c r="A113">
        <v>7.0000000000000007E-2</v>
      </c>
      <c r="B113">
        <v>30</v>
      </c>
      <c r="C113">
        <v>250000</v>
      </c>
      <c r="Z113">
        <f>PMT(A113,B113,C113)*B113</f>
        <v>-604398.02633333404</v>
      </c>
    </row>
    <row r="114" spans="1:26" ht="15" x14ac:dyDescent="0.25">
      <c r="A114">
        <v>7.0000000000000007E-2</v>
      </c>
      <c r="B114">
        <v>30</v>
      </c>
      <c r="C114">
        <v>250000</v>
      </c>
      <c r="Z114">
        <f>ROUND(PMT(A114,B114,C114),2)</f>
        <v>-20146.599999999999</v>
      </c>
    </row>
    <row r="115" spans="1:26" ht="15" x14ac:dyDescent="0.25">
      <c r="A115">
        <v>7.0000000000000007E-2</v>
      </c>
      <c r="B115">
        <v>30</v>
      </c>
      <c r="C115">
        <v>250000</v>
      </c>
      <c r="D115">
        <v>1000</v>
      </c>
      <c r="E115">
        <v>0</v>
      </c>
      <c r="Z115">
        <f t="shared" ref="Z115:Z120" si="11">PMT(A115,B115,C115,D115,E115)</f>
        <v>-20157.187281288909</v>
      </c>
    </row>
    <row r="116" spans="1:26" ht="15" x14ac:dyDescent="0.25">
      <c r="A116">
        <v>7.0000000000000007E-2</v>
      </c>
      <c r="B116">
        <v>30</v>
      </c>
      <c r="C116">
        <v>250000</v>
      </c>
      <c r="D116">
        <v>0</v>
      </c>
      <c r="E116">
        <v>1</v>
      </c>
      <c r="Z116">
        <f t="shared" si="11"/>
        <v>-18828.598951194206</v>
      </c>
    </row>
    <row r="117" spans="1:26" ht="15" x14ac:dyDescent="0.25">
      <c r="A117">
        <v>7.0000000000000007E-2</v>
      </c>
      <c r="B117">
        <v>30</v>
      </c>
      <c r="C117">
        <v>250000</v>
      </c>
      <c r="D117">
        <v>500</v>
      </c>
      <c r="E117">
        <v>1</v>
      </c>
      <c r="Z117">
        <f t="shared" si="11"/>
        <v>-18833.545868722766</v>
      </c>
    </row>
    <row r="118" spans="1:26" ht="15" x14ac:dyDescent="0.25">
      <c r="A118">
        <v>7.0000000000000007E-2</v>
      </c>
      <c r="B118">
        <v>30</v>
      </c>
      <c r="C118">
        <v>250000</v>
      </c>
      <c r="D118">
        <v>0</v>
      </c>
      <c r="E118">
        <v>2</v>
      </c>
      <c r="Z118">
        <f t="shared" si="11"/>
        <v>-18828.598951194206</v>
      </c>
    </row>
    <row r="119" spans="1:26" ht="15" x14ac:dyDescent="0.25">
      <c r="A119">
        <v>7.0000000000000007E-2</v>
      </c>
      <c r="B119">
        <v>30</v>
      </c>
      <c r="C119">
        <v>250000</v>
      </c>
      <c r="D119">
        <v>0</v>
      </c>
      <c r="E119">
        <v>-1</v>
      </c>
      <c r="Z119">
        <f t="shared" si="11"/>
        <v>-18828.598951194206</v>
      </c>
    </row>
    <row r="120" spans="1:26" ht="15" x14ac:dyDescent="0.25">
      <c r="A120">
        <v>7.0000000000000007E-2</v>
      </c>
      <c r="B120">
        <v>30</v>
      </c>
      <c r="C120">
        <v>250000</v>
      </c>
      <c r="D120">
        <v>0</v>
      </c>
      <c r="E120">
        <v>0.5</v>
      </c>
      <c r="Z120">
        <f t="shared" si="11"/>
        <v>-18828.598951194206</v>
      </c>
    </row>
    <row r="121" spans="1:26" ht="15" x14ac:dyDescent="0.25">
      <c r="Z121">
        <f>PMT(5%/12,60,10000)</f>
        <v>-188.71233644010937</v>
      </c>
    </row>
    <row r="122" spans="1:26" ht="15" x14ac:dyDescent="0.25">
      <c r="Z122">
        <f>PMT(0.05/12,360,200000)</f>
        <v>-1073.6432460242781</v>
      </c>
    </row>
    <row r="123" spans="1:26" ht="15" x14ac:dyDescent="0.25">
      <c r="Z123">
        <f>PMT(0,10,1000)</f>
        <v>-100</v>
      </c>
    </row>
    <row r="124" spans="1:26" ht="15" x14ac:dyDescent="0.25">
      <c r="Z124">
        <f>SUM(PMT(0.05,10,1000),1)</f>
        <v>-128.50457496545667</v>
      </c>
    </row>
    <row r="125" spans="1:26" ht="15" x14ac:dyDescent="0.25">
      <c r="Z125">
        <f>-PMT(0.05,10,1000)+10</f>
        <v>139.50457496545667</v>
      </c>
    </row>
    <row r="126" spans="1:26" ht="15" x14ac:dyDescent="0.25">
      <c r="Z126">
        <f>PMT(0.05,10,1000,0)</f>
        <v>-129.50457496545667</v>
      </c>
    </row>
    <row r="127" spans="1:26" ht="15" x14ac:dyDescent="0.25">
      <c r="Z127">
        <f>PMT(0.05,10,1000,0,TRUE)</f>
        <v>-123.33769044329205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2026-10-09T05:23:50Z</dcterms:created>
  <dcterms:modified xsi:type="dcterms:W3CDTF">2026-10-09T05:23:50Z</dcterms:modified>
</cp:coreProperties>
</file>