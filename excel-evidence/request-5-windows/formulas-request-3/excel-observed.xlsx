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FB86075-3E7B-4DD6-9B7A-AC9994BBFD8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9" i="1" l="1"/>
  <c r="Z137" i="1"/>
  <c r="Z135" i="1"/>
  <c r="Z133" i="1"/>
  <c r="Z131" i="1"/>
  <c r="Z129" i="1"/>
  <c r="Z127" i="1"/>
  <c r="Z125" i="1"/>
  <c r="Z123" i="1"/>
  <c r="Z121" i="1"/>
  <c r="Z119" i="1"/>
  <c r="Z117" i="1"/>
  <c r="Z115" i="1"/>
  <c r="Z113" i="1"/>
  <c r="Z111" i="1"/>
  <c r="Z109" i="1"/>
  <c r="Z107" i="1"/>
  <c r="Z105" i="1"/>
  <c r="Z103" i="1"/>
  <c r="Z101" i="1"/>
  <c r="Z99" i="1"/>
  <c r="Z97" i="1"/>
  <c r="Z95" i="1"/>
  <c r="Z93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Z5" i="1"/>
  <c r="Z3" i="1"/>
  <c r="Z1" i="1"/>
</calcChain>
</file>

<file path=xl/sharedStrings.xml><?xml version="1.0" encoding="utf-8"?>
<sst xmlns="http://schemas.openxmlformats.org/spreadsheetml/2006/main" count="1" uniqueCount="1">
  <si>
    <t xml:space="preserve">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</si>
</sst>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9"/>
  <sheetViews>
    <sheetView tabSelected="1" workbookViewId="0"/>
  </sheetViews>
  <sheetFormatPr defaultRowHeight="14.25" x14ac:dyDescent="0.25"/>
  <sheetData>
    <row r="1" spans="1:26" ht="15" x14ac:dyDescent="0.25">
      <c r="A1">
        <v>1.0000000000000002</v>
      </c>
      <c r="B1">
        <v>1</v>
      </c>
      <c r="Z1">
        <f>A1-B1</f>
        <v>0</v>
      </c>
    </row>
    <row r="3" spans="1:26" ht="15" x14ac:dyDescent="0.25">
      <c r="A3">
        <v>1.0000000000000002</v>
      </c>
      <c r="B3">
        <v>1</v>
      </c>
      <c r="Z3">
        <f>(A3-B3)*1</f>
        <v>2.2204460492503131E-16</v>
      </c>
    </row>
    <row r="5" spans="1:26" ht="15" x14ac:dyDescent="0.25">
      <c r="A5">
        <v>1.0000000000000002</v>
      </c>
      <c r="B5">
        <v>1</v>
      </c>
      <c r="Z5">
        <f>SUM(A5,-B5)</f>
        <v>0</v>
      </c>
    </row>
    <row r="7" spans="1:26" ht="15" x14ac:dyDescent="0.25">
      <c r="A7">
        <v>1.0000000000000002</v>
      </c>
      <c r="B7">
        <v>1</v>
      </c>
      <c r="Z7" t="b">
        <f>A7=B7</f>
        <v>1</v>
      </c>
    </row>
    <row r="9" spans="1:26" ht="15" x14ac:dyDescent="0.25">
      <c r="A9">
        <v>1.0000000000000002</v>
      </c>
      <c r="B9">
        <v>1</v>
      </c>
      <c r="Z9" t="b">
        <f>A9&gt;B9</f>
        <v>0</v>
      </c>
    </row>
    <row r="11" spans="1:26" ht="15" x14ac:dyDescent="0.25">
      <c r="A11">
        <v>1.0000000000000004</v>
      </c>
      <c r="B11">
        <v>1</v>
      </c>
      <c r="Z11">
        <f>A11-B11</f>
        <v>0</v>
      </c>
    </row>
    <row r="13" spans="1:26" ht="15" x14ac:dyDescent="0.25">
      <c r="A13">
        <v>1.0000000000000004</v>
      </c>
      <c r="B13">
        <v>1</v>
      </c>
      <c r="Z13">
        <f>(A13-B13)*1</f>
        <v>4.4408920985006262E-16</v>
      </c>
    </row>
    <row r="15" spans="1:26" ht="15" x14ac:dyDescent="0.25">
      <c r="A15">
        <v>1.0000000000000004</v>
      </c>
      <c r="B15">
        <v>1</v>
      </c>
      <c r="Z15">
        <f>SUM(A15,-B15)</f>
        <v>0</v>
      </c>
    </row>
    <row r="17" spans="1:26" ht="15" x14ac:dyDescent="0.25">
      <c r="A17">
        <v>1.0000000000000004</v>
      </c>
      <c r="B17">
        <v>1</v>
      </c>
      <c r="Z17" t="b">
        <f>A17=B17</f>
        <v>1</v>
      </c>
    </row>
    <row r="19" spans="1:26" ht="15" x14ac:dyDescent="0.25">
      <c r="A19">
        <v>1.0000000000000004</v>
      </c>
      <c r="B19">
        <v>1</v>
      </c>
      <c r="Z19" t="b">
        <f>A19&gt;B19</f>
        <v>0</v>
      </c>
    </row>
    <row r="21" spans="1:26" ht="15" x14ac:dyDescent="0.25">
      <c r="A21">
        <v>1.0000000000000009</v>
      </c>
      <c r="B21">
        <v>1</v>
      </c>
      <c r="Z21">
        <f>A21-B21</f>
        <v>0</v>
      </c>
    </row>
    <row r="23" spans="1:26" ht="15" x14ac:dyDescent="0.25">
      <c r="A23">
        <v>1.0000000000000009</v>
      </c>
      <c r="B23">
        <v>1</v>
      </c>
      <c r="Z23">
        <f>(A23-B23)*1</f>
        <v>8.8817841970012523E-16</v>
      </c>
    </row>
    <row r="25" spans="1:26" ht="15" x14ac:dyDescent="0.25">
      <c r="A25">
        <v>1.0000000000000009</v>
      </c>
      <c r="B25">
        <v>1</v>
      </c>
      <c r="Z25">
        <f>SUM(A25,-B25)</f>
        <v>0</v>
      </c>
    </row>
    <row r="27" spans="1:26" ht="15" x14ac:dyDescent="0.25">
      <c r="A27">
        <v>1.0000000000000009</v>
      </c>
      <c r="B27">
        <v>1</v>
      </c>
      <c r="Z27" t="b">
        <f>A27=B27</f>
        <v>1</v>
      </c>
    </row>
    <row r="29" spans="1:26" ht="15" x14ac:dyDescent="0.25">
      <c r="A29">
        <v>1.0000000000000009</v>
      </c>
      <c r="B29">
        <v>1</v>
      </c>
      <c r="Z29" t="b">
        <f>A29&gt;B29</f>
        <v>0</v>
      </c>
    </row>
    <row r="31" spans="1:26" ht="15" x14ac:dyDescent="0.25">
      <c r="A31">
        <v>1.0000000000000011</v>
      </c>
      <c r="B31">
        <v>1</v>
      </c>
      <c r="Z31">
        <f>A31-B31</f>
        <v>0</v>
      </c>
    </row>
    <row r="33" spans="1:26" ht="15" x14ac:dyDescent="0.25">
      <c r="A33">
        <v>1.0000000000000011</v>
      </c>
      <c r="B33">
        <v>1</v>
      </c>
      <c r="Z33">
        <f>(A33-B33)*1</f>
        <v>1.1102230246251565E-15</v>
      </c>
    </row>
    <row r="35" spans="1:26" ht="15" x14ac:dyDescent="0.25">
      <c r="A35">
        <v>1.0000000000000011</v>
      </c>
      <c r="B35">
        <v>1</v>
      </c>
      <c r="Z35">
        <f>SUM(A35,-B35)</f>
        <v>0</v>
      </c>
    </row>
    <row r="37" spans="1:26" ht="15" x14ac:dyDescent="0.25">
      <c r="A37">
        <v>1.0000000000000011</v>
      </c>
      <c r="B37">
        <v>1</v>
      </c>
      <c r="Z37" t="b">
        <f>A37=B37</f>
        <v>1</v>
      </c>
    </row>
    <row r="39" spans="1:26" ht="15" x14ac:dyDescent="0.25">
      <c r="A39">
        <v>1.0000000000000011</v>
      </c>
      <c r="B39">
        <v>1</v>
      </c>
      <c r="Z39" t="b">
        <f>A39&gt;B39</f>
        <v>0</v>
      </c>
    </row>
    <row r="41" spans="1:26" ht="15" x14ac:dyDescent="0.25">
      <c r="A41">
        <v>1.0000000000000013</v>
      </c>
      <c r="B41">
        <v>1</v>
      </c>
      <c r="Z41">
        <f>A41-B41</f>
        <v>0</v>
      </c>
    </row>
    <row r="43" spans="1:26" ht="15" x14ac:dyDescent="0.25">
      <c r="A43">
        <v>1.0000000000000013</v>
      </c>
      <c r="B43">
        <v>1</v>
      </c>
      <c r="Z43">
        <f>(A43-B43)*1</f>
        <v>1.3322676295501878E-15</v>
      </c>
    </row>
    <row r="45" spans="1:26" ht="15" x14ac:dyDescent="0.25">
      <c r="A45">
        <v>1.0000000000000013</v>
      </c>
      <c r="B45">
        <v>1</v>
      </c>
      <c r="Z45">
        <f>SUM(A45,-B45)</f>
        <v>0</v>
      </c>
    </row>
    <row r="47" spans="1:26" ht="15" x14ac:dyDescent="0.25">
      <c r="A47">
        <v>1.0000000000000013</v>
      </c>
      <c r="B47">
        <v>1</v>
      </c>
      <c r="Z47" t="b">
        <f>A47=B47</f>
        <v>1</v>
      </c>
    </row>
    <row r="49" spans="1:26" ht="15" x14ac:dyDescent="0.25">
      <c r="A49">
        <v>1.0000000000000013</v>
      </c>
      <c r="B49">
        <v>1</v>
      </c>
      <c r="Z49" t="b">
        <f>A49&gt;B49</f>
        <v>0</v>
      </c>
    </row>
    <row r="51" spans="1:26" ht="15" x14ac:dyDescent="0.25">
      <c r="A51">
        <v>1.0000000000000016</v>
      </c>
      <c r="B51">
        <v>1</v>
      </c>
      <c r="Z51">
        <f>A51-B51</f>
        <v>0</v>
      </c>
    </row>
    <row r="53" spans="1:26" ht="15" x14ac:dyDescent="0.25">
      <c r="A53">
        <v>1.0000000000000016</v>
      </c>
      <c r="B53">
        <v>1</v>
      </c>
      <c r="Z53">
        <f>(A53-B53)*1</f>
        <v>1.5543122344752192E-15</v>
      </c>
    </row>
    <row r="55" spans="1:26" ht="15" x14ac:dyDescent="0.25">
      <c r="A55">
        <v>1.0000000000000016</v>
      </c>
      <c r="B55">
        <v>1</v>
      </c>
      <c r="Z55">
        <f>SUM(A55,-B55)</f>
        <v>0</v>
      </c>
    </row>
    <row r="57" spans="1:26" ht="15" x14ac:dyDescent="0.25">
      <c r="A57">
        <v>1.0000000000000016</v>
      </c>
      <c r="B57">
        <v>1</v>
      </c>
      <c r="Z57" t="b">
        <f>A57=B57</f>
        <v>1</v>
      </c>
    </row>
    <row r="59" spans="1:26" ht="15" x14ac:dyDescent="0.25">
      <c r="A59">
        <v>1.0000000000000016</v>
      </c>
      <c r="B59">
        <v>1</v>
      </c>
      <c r="Z59" t="b">
        <f>A59&gt;B59</f>
        <v>0</v>
      </c>
    </row>
    <row r="61" spans="1:26" ht="15" x14ac:dyDescent="0.25">
      <c r="A61">
        <v>1.0000000000000018</v>
      </c>
      <c r="B61">
        <v>1</v>
      </c>
      <c r="Z61">
        <f>A61-B61</f>
        <v>1.7763568394002505E-15</v>
      </c>
    </row>
    <row r="63" spans="1:26" ht="15" x14ac:dyDescent="0.25">
      <c r="A63">
        <v>1.0000000000000018</v>
      </c>
      <c r="B63">
        <v>1</v>
      </c>
      <c r="Z63">
        <f>(A63-B63)*1</f>
        <v>1.7763568394002505E-15</v>
      </c>
    </row>
    <row r="65" spans="1:26" ht="15" x14ac:dyDescent="0.25">
      <c r="A65">
        <v>1.0000000000000018</v>
      </c>
      <c r="B65">
        <v>1</v>
      </c>
      <c r="Z65">
        <f>SUM(A65,-B65)</f>
        <v>1.7763568394002505E-15</v>
      </c>
    </row>
    <row r="67" spans="1:26" ht="15" x14ac:dyDescent="0.25">
      <c r="A67">
        <v>1.0000000000000018</v>
      </c>
      <c r="B67">
        <v>1</v>
      </c>
      <c r="Z67" t="b">
        <f>A67=B67</f>
        <v>1</v>
      </c>
    </row>
    <row r="69" spans="1:26" ht="15" x14ac:dyDescent="0.25">
      <c r="A69">
        <v>1.0000000000000018</v>
      </c>
      <c r="B69">
        <v>1</v>
      </c>
      <c r="Z69" t="b">
        <f>A69&gt;B69</f>
        <v>0</v>
      </c>
    </row>
    <row r="71" spans="1:26" ht="15" x14ac:dyDescent="0.25">
      <c r="A71">
        <v>1.000000000000002</v>
      </c>
      <c r="B71">
        <v>1</v>
      </c>
      <c r="Z71">
        <f>A71-B71</f>
        <v>1.9984014443252818E-15</v>
      </c>
    </row>
    <row r="73" spans="1:26" ht="15" x14ac:dyDescent="0.25">
      <c r="A73">
        <v>1.000000000000002</v>
      </c>
      <c r="B73">
        <v>1</v>
      </c>
      <c r="Z73">
        <f>(A73-B73)*1</f>
        <v>1.9984014443252818E-15</v>
      </c>
    </row>
    <row r="75" spans="1:26" ht="15" x14ac:dyDescent="0.25">
      <c r="A75">
        <v>1.000000000000002</v>
      </c>
      <c r="B75">
        <v>1</v>
      </c>
      <c r="Z75">
        <f>SUM(A75,-B75)</f>
        <v>1.9984014443252818E-15</v>
      </c>
    </row>
    <row r="77" spans="1:26" ht="15" x14ac:dyDescent="0.25">
      <c r="A77">
        <v>1.000000000000002</v>
      </c>
      <c r="B77">
        <v>1</v>
      </c>
      <c r="Z77" t="b">
        <f>A77=B77</f>
        <v>1</v>
      </c>
    </row>
    <row r="79" spans="1:26" ht="15" x14ac:dyDescent="0.25">
      <c r="A79">
        <v>1.000000000000002</v>
      </c>
      <c r="B79">
        <v>1</v>
      </c>
      <c r="Z79" t="b">
        <f>A79&gt;B79</f>
        <v>0</v>
      </c>
    </row>
    <row r="81" spans="1:26" ht="15" x14ac:dyDescent="0.25">
      <c r="A81">
        <v>1.0000000000000027</v>
      </c>
      <c r="B81">
        <v>1</v>
      </c>
      <c r="Z81">
        <f>A81-B81</f>
        <v>2.6645352591003757E-15</v>
      </c>
    </row>
    <row r="83" spans="1:26" ht="15" x14ac:dyDescent="0.25">
      <c r="A83">
        <v>1.0000000000000027</v>
      </c>
      <c r="B83">
        <v>1</v>
      </c>
      <c r="Z83">
        <f>(A83-B83)*1</f>
        <v>2.6645352591003757E-15</v>
      </c>
    </row>
    <row r="85" spans="1:26" ht="15" x14ac:dyDescent="0.25">
      <c r="A85">
        <v>1.0000000000000027</v>
      </c>
      <c r="B85">
        <v>1</v>
      </c>
      <c r="Z85">
        <f>SUM(A85,-B85)</f>
        <v>2.6645352591003757E-15</v>
      </c>
    </row>
    <row r="87" spans="1:26" ht="15" x14ac:dyDescent="0.25">
      <c r="A87">
        <v>1.0000000000000027</v>
      </c>
      <c r="B87">
        <v>1</v>
      </c>
      <c r="Z87" t="b">
        <f>A87=B87</f>
        <v>1</v>
      </c>
    </row>
    <row r="89" spans="1:26" ht="15" x14ac:dyDescent="0.25">
      <c r="A89">
        <v>1.0000000000000027</v>
      </c>
      <c r="B89">
        <v>1</v>
      </c>
      <c r="Z89" t="b">
        <f>A89&gt;B89</f>
        <v>0</v>
      </c>
    </row>
    <row r="91" spans="1:26" ht="15" x14ac:dyDescent="0.25">
      <c r="A91">
        <v>1.0000000000000036</v>
      </c>
      <c r="B91">
        <v>1</v>
      </c>
      <c r="Z91">
        <f>A91-B91</f>
        <v>3.5527136788005009E-15</v>
      </c>
    </row>
    <row r="93" spans="1:26" ht="15" x14ac:dyDescent="0.25">
      <c r="A93">
        <v>1.0000000000000036</v>
      </c>
      <c r="B93">
        <v>1</v>
      </c>
      <c r="Z93">
        <f>(A93-B93)*1</f>
        <v>3.5527136788005009E-15</v>
      </c>
    </row>
    <row r="95" spans="1:26" ht="15" x14ac:dyDescent="0.25">
      <c r="A95">
        <v>1.0000000000000036</v>
      </c>
      <c r="B95">
        <v>1</v>
      </c>
      <c r="Z95">
        <f>SUM(A95,-B95)</f>
        <v>3.5527136788005009E-15</v>
      </c>
    </row>
    <row r="97" spans="1:26" ht="15" x14ac:dyDescent="0.25">
      <c r="A97">
        <v>1.0000000000000036</v>
      </c>
      <c r="B97">
        <v>1</v>
      </c>
      <c r="Z97" t="b">
        <f>A97=B97</f>
        <v>1</v>
      </c>
    </row>
    <row r="99" spans="1:26" ht="15" x14ac:dyDescent="0.25">
      <c r="A99">
        <v>1.0000000000000036</v>
      </c>
      <c r="B99">
        <v>1</v>
      </c>
      <c r="Z99" t="b">
        <f>A99&gt;B99</f>
        <v>0</v>
      </c>
    </row>
    <row r="101" spans="1:26" ht="15" x14ac:dyDescent="0.25">
      <c r="Z101">
        <f>ROUND(2.5-2^-51,0)</f>
        <v>3</v>
      </c>
    </row>
    <row r="103" spans="1:26" ht="15" x14ac:dyDescent="0.25">
      <c r="Z103">
        <f>ROUND(0.5-2^-54,0)</f>
        <v>1</v>
      </c>
    </row>
    <row r="105" spans="1:26" ht="15" x14ac:dyDescent="0.25">
      <c r="Z105">
        <f>ROUND(1250-2^-42,-2)</f>
        <v>1300</v>
      </c>
    </row>
    <row r="107" spans="1:26" ht="15" x14ac:dyDescent="0.25">
      <c r="Z107">
        <f>ROUND(10+0.000000000000496,12)</f>
        <v>10.000000000001</v>
      </c>
    </row>
    <row r="109" spans="1:26" ht="15" x14ac:dyDescent="0.25">
      <c r="Z109">
        <f>ROUND(1234567890123+0.125,2)</f>
        <v>1234567890123.1201</v>
      </c>
    </row>
    <row r="111" spans="1:26" ht="15" x14ac:dyDescent="0.25">
      <c r="Z111">
        <f>ROUND(2^53,0)</f>
        <v>9007199254740990</v>
      </c>
    </row>
    <row r="113" spans="26:26" ht="15" x14ac:dyDescent="0.25">
      <c r="Z113">
        <f>ROUND(1.5*0.15,2)</f>
        <v>0.23</v>
      </c>
    </row>
    <row r="115" spans="26:26" ht="15" x14ac:dyDescent="0.25">
      <c r="Z115">
        <f>ROUND(1/3,20)</f>
        <v>0.33333333333333298</v>
      </c>
    </row>
    <row r="117" spans="26:26" ht="15" x14ac:dyDescent="0.25">
      <c r="Z117" t="e">
        <f>0^0</f>
        <v>#NUM!</v>
      </c>
    </row>
    <row r="119" spans="26:26" ht="15" x14ac:dyDescent="0.25">
      <c r="Z119">
        <f>(-8)^(1/3)</f>
        <v>-1.9999999999999998</v>
      </c>
    </row>
    <row r="121" spans="26:26" ht="15" x14ac:dyDescent="0.25">
      <c r="Z121" t="b">
        <f>TRUE=1</f>
        <v>0</v>
      </c>
    </row>
    <row r="123" spans="26:26" ht="15" x14ac:dyDescent="0.25">
      <c r="Z123" t="b">
        <f>+TRUE</f>
        <v>1</v>
      </c>
    </row>
    <row r="125" spans="26:26" ht="15" x14ac:dyDescent="0.25">
      <c r="Z125" t="b">
        <f>C125=FALSE</f>
        <v>1</v>
      </c>
    </row>
    <row r="127" spans="26:26" ht="15" x14ac:dyDescent="0.25">
      <c r="Z127">
        <f>2^-1074</f>
        <v>0</v>
      </c>
    </row>
    <row r="129" spans="1:26" ht="15" x14ac:dyDescent="0.25">
      <c r="Z129">
        <f>PMT(0.05,12,1000,0,2)</f>
        <v>-107.45277144839562</v>
      </c>
    </row>
    <row r="131" spans="1:26" ht="15" x14ac:dyDescent="0.25">
      <c r="N131" t="s">
        <v>0</v>
      </c>
      <c r="Z131">
        <f>N131+1</f>
        <v>4</v>
      </c>
    </row>
    <row r="133" spans="1:26" ht="15" x14ac:dyDescent="0.25">
      <c r="A133">
        <v>1E+16</v>
      </c>
      <c r="B133">
        <v>1</v>
      </c>
      <c r="Z133">
        <f>SUM(A133:B134)</f>
        <v>1</v>
      </c>
    </row>
    <row r="134" spans="1:26" ht="15" x14ac:dyDescent="0.25">
      <c r="A134">
        <v>-1E+16</v>
      </c>
      <c r="B134">
        <v>1</v>
      </c>
    </row>
    <row r="135" spans="1:26" ht="15" x14ac:dyDescent="0.25">
      <c r="Z135">
        <f>-10^16</f>
        <v>1E+16</v>
      </c>
    </row>
    <row r="137" spans="1:26" ht="15" x14ac:dyDescent="0.25">
      <c r="Z137">
        <f>0-10^16</f>
        <v>-1E+16</v>
      </c>
    </row>
    <row r="139" spans="1:26" ht="15" x14ac:dyDescent="0.25">
      <c r="Z139">
        <f>-2^2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2026-10-09T05:23:48Z</dcterms:created>
  <dcterms:modified xsi:type="dcterms:W3CDTF">2026-10-09T05:23:48Z</dcterms:modified>
</cp:coreProperties>
</file>