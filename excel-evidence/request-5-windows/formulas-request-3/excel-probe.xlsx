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05D658C-FD35-4C36-934A-D5906B98D1E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80" i="1" l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Y322" i="1"/>
  <c r="Z321" i="1"/>
  <c r="Y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Y143" i="1"/>
  <c r="Z142" i="1"/>
  <c r="Y142" i="1"/>
  <c r="Z141" i="1"/>
  <c r="Z140" i="1"/>
  <c r="Z139" i="1"/>
  <c r="Z138" i="1"/>
  <c r="Z137" i="1"/>
  <c r="Y137" i="1"/>
  <c r="Z136" i="1"/>
  <c r="Y136" i="1"/>
  <c r="Z135" i="1"/>
  <c r="Y135" i="1"/>
  <c r="Z134" i="1"/>
  <c r="Y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Y109" i="1"/>
  <c r="Z108" i="1"/>
  <c r="Y108" i="1"/>
  <c r="Z107" i="1"/>
  <c r="Y107" i="1"/>
  <c r="Z106" i="1"/>
  <c r="Y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<sst xmlns="http://schemas.openxmlformats.org/spreadsheetml/2006/main" count="177" uniqueCount="27">
  <si>
    <t>a</t>
  </si>
  <si>
    <t/>
  </si>
  <si>
    <t>3</t>
  </si>
  <si>
    <t>abc</t>
  </si>
  <si>
    <t xml:space="preserve">3 </t>
  </si>
  <si>
    <t xml:space="preserve"> 3 </t>
  </si>
  <si>
    <t>3.</t>
  </si>
  <si>
    <t>.5</t>
  </si>
  <si>
    <t>(5)</t>
  </si>
  <si>
    <t>+3</t>
  </si>
  <si>
    <t>50%</t>
  </si>
  <si>
    <t>12:00</t>
  </si>
  <si>
    <t>1,000.5</t>
  </si>
  <si>
    <t>1E3</t>
  </si>
  <si>
    <t>-0</t>
  </si>
  <si>
    <t>0x10</t>
  </si>
  <si>
    <t>1</t>
  </si>
  <si>
    <t>A</t>
  </si>
  <si>
    <t>abd</t>
  </si>
  <si>
    <t>B</t>
  </si>
  <si>
    <t>u</t>
  </si>
  <si>
    <t>û</t>
  </si>
  <si>
    <t xml:space="preserve">a </t>
  </si>
  <si>
    <t>10</t>
  </si>
  <si>
    <t>9</t>
  </si>
  <si>
    <t xml:space="preserve"> </t>
  </si>
  <si>
    <t>2:15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</si>
</sst>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0"/>
  <sheetViews>
    <sheetView tabSelected="1" workbookViewId="0"/>
  </sheetViews>
  <sheetFormatPr defaultRowHeight="14.25" x14ac:dyDescent="0.25"/>
  <sheetData>
    <row r="1" spans="1:26" ht="15" x14ac:dyDescent="0.25">
      <c r="A1">
        <v>1.0000000000000002</v>
      </c>
      <c r="B1">
        <v>1</v>
      </c>
      <c r="Z1">
        <f>(A1-B1)</f>
        <v>2.2204460492503131E-16</v>
      </c>
    </row>
    <row r="2" spans="1:26" ht="15" x14ac:dyDescent="0.25">
      <c r="A2">
        <v>1.0000000000000002</v>
      </c>
      <c r="B2">
        <v>1</v>
      </c>
      <c r="Z2">
        <f>((A2-B2))</f>
        <v>2.2204460492503131E-16</v>
      </c>
    </row>
    <row r="3" spans="1:26" ht="15" x14ac:dyDescent="0.25">
      <c r="A3">
        <v>1.0000000000000002</v>
      </c>
      <c r="B3">
        <v>1</v>
      </c>
      <c r="Z3">
        <f>+(A3-B3)</f>
        <v>2.2204460492503131E-16</v>
      </c>
    </row>
    <row r="4" spans="1:26" ht="15" x14ac:dyDescent="0.25">
      <c r="A4">
        <v>1.0000000000000002</v>
      </c>
      <c r="B4">
        <v>1</v>
      </c>
      <c r="Z4">
        <f>-(B4-A4)</f>
        <v>2.2204460492503131E-16</v>
      </c>
    </row>
    <row r="5" spans="1:26" ht="15" x14ac:dyDescent="0.25">
      <c r="A5">
        <v>1.0000000000000002</v>
      </c>
      <c r="B5">
        <v>1</v>
      </c>
      <c r="Z5">
        <f>A5-B5+0</f>
        <v>2.2204460492503131E-16</v>
      </c>
    </row>
    <row r="6" spans="1:26" ht="15" x14ac:dyDescent="0.25">
      <c r="A6">
        <v>1.0000000000000002</v>
      </c>
      <c r="B6">
        <v>1</v>
      </c>
      <c r="Z6">
        <f>0+A6-B6</f>
        <v>0</v>
      </c>
    </row>
    <row r="7" spans="1:26" ht="15" x14ac:dyDescent="0.25">
      <c r="A7">
        <v>1.0000000000000002</v>
      </c>
      <c r="B7">
        <v>1</v>
      </c>
      <c r="Z7">
        <f>A7-B7-0</f>
        <v>2.2204460492503131E-16</v>
      </c>
    </row>
    <row r="8" spans="1:26" ht="15" x14ac:dyDescent="0.25">
      <c r="A8">
        <v>1.0000000000000002</v>
      </c>
      <c r="B8">
        <v>1</v>
      </c>
      <c r="Z8">
        <f>IF(TRUE,A8-B8,0)</f>
        <v>2.2204460492503131E-16</v>
      </c>
    </row>
    <row r="9" spans="1:26" ht="15" x14ac:dyDescent="0.25">
      <c r="A9">
        <v>1.0000000000000002</v>
      </c>
      <c r="B9">
        <v>1</v>
      </c>
      <c r="Z9">
        <f>IF(A9&gt;=B9,A9-B9,0)</f>
        <v>2.2204460492503131E-16</v>
      </c>
    </row>
    <row r="10" spans="1:26" ht="15" x14ac:dyDescent="0.25">
      <c r="A10">
        <v>1.0000000000000002</v>
      </c>
      <c r="B10">
        <v>1</v>
      </c>
      <c r="Z10">
        <f>SUM(A10-B10)</f>
        <v>2.2204460492503131E-16</v>
      </c>
    </row>
    <row r="11" spans="1:26" ht="15" x14ac:dyDescent="0.25">
      <c r="A11">
        <v>1.0000000000000002</v>
      </c>
      <c r="B11">
        <v>1</v>
      </c>
      <c r="Z11">
        <f>SUM((A11-B11))</f>
        <v>2.2204460492503131E-16</v>
      </c>
    </row>
    <row r="12" spans="1:26" ht="15" x14ac:dyDescent="0.25">
      <c r="A12">
        <v>1.0000000000000009</v>
      </c>
      <c r="B12">
        <v>1</v>
      </c>
      <c r="Z12">
        <f>(A12-B12)</f>
        <v>8.8817841970012523E-16</v>
      </c>
    </row>
    <row r="13" spans="1:26" ht="15" x14ac:dyDescent="0.25">
      <c r="A13">
        <v>1.0000000000000009</v>
      </c>
      <c r="B13">
        <v>1</v>
      </c>
      <c r="Z13">
        <f>((A13-B13))</f>
        <v>8.8817841970012523E-16</v>
      </c>
    </row>
    <row r="14" spans="1:26" ht="15" x14ac:dyDescent="0.25">
      <c r="A14">
        <v>1.0000000000000009</v>
      </c>
      <c r="B14">
        <v>1</v>
      </c>
      <c r="Z14">
        <f>+(A14-B14)</f>
        <v>8.8817841970012523E-16</v>
      </c>
    </row>
    <row r="15" spans="1:26" ht="15" x14ac:dyDescent="0.25">
      <c r="A15">
        <v>1.0000000000000009</v>
      </c>
      <c r="B15">
        <v>1</v>
      </c>
      <c r="Z15">
        <f>-(B15-A15)</f>
        <v>8.8817841970012523E-16</v>
      </c>
    </row>
    <row r="16" spans="1:26" ht="15" x14ac:dyDescent="0.25">
      <c r="A16">
        <v>1.0000000000000009</v>
      </c>
      <c r="B16">
        <v>1</v>
      </c>
      <c r="Z16">
        <f>A16-B16+0</f>
        <v>8.8817841970012523E-16</v>
      </c>
    </row>
    <row r="17" spans="1:26" ht="15" x14ac:dyDescent="0.25">
      <c r="A17">
        <v>1.0000000000000009</v>
      </c>
      <c r="B17">
        <v>1</v>
      </c>
      <c r="Z17">
        <f>0+A17-B17</f>
        <v>0</v>
      </c>
    </row>
    <row r="18" spans="1:26" ht="15" x14ac:dyDescent="0.25">
      <c r="A18">
        <v>1.0000000000000009</v>
      </c>
      <c r="B18">
        <v>1</v>
      </c>
      <c r="Z18">
        <f>A18-B18-0</f>
        <v>8.8817841970012523E-16</v>
      </c>
    </row>
    <row r="19" spans="1:26" ht="15" x14ac:dyDescent="0.25">
      <c r="A19">
        <v>1.0000000000000009</v>
      </c>
      <c r="B19">
        <v>1</v>
      </c>
      <c r="Z19">
        <f>IF(TRUE,A19-B19,0)</f>
        <v>8.8817841970012523E-16</v>
      </c>
    </row>
    <row r="20" spans="1:26" ht="15" x14ac:dyDescent="0.25">
      <c r="A20">
        <v>1.0000000000000009</v>
      </c>
      <c r="B20">
        <v>1</v>
      </c>
      <c r="Z20">
        <f>IF(A20&gt;=B20,A20-B20,0)</f>
        <v>8.8817841970012523E-16</v>
      </c>
    </row>
    <row r="21" spans="1:26" ht="15" x14ac:dyDescent="0.25">
      <c r="A21">
        <v>1.0000000000000009</v>
      </c>
      <c r="B21">
        <v>1</v>
      </c>
      <c r="Z21">
        <f>SUM(A21-B21)</f>
        <v>8.8817841970012523E-16</v>
      </c>
    </row>
    <row r="22" spans="1:26" ht="15" x14ac:dyDescent="0.25">
      <c r="A22">
        <v>1.0000000000000009</v>
      </c>
      <c r="B22">
        <v>1</v>
      </c>
      <c r="Z22">
        <f>SUM((A22-B22))</f>
        <v>8.8817841970012523E-16</v>
      </c>
    </row>
    <row r="23" spans="1:26" ht="15" x14ac:dyDescent="0.25">
      <c r="A23">
        <v>1.0000000000000016</v>
      </c>
      <c r="B23">
        <v>1</v>
      </c>
      <c r="Z23">
        <f>(A23-B23)</f>
        <v>1.5543122344752192E-15</v>
      </c>
    </row>
    <row r="24" spans="1:26" ht="15" x14ac:dyDescent="0.25">
      <c r="A24">
        <v>1.0000000000000016</v>
      </c>
      <c r="B24">
        <v>1</v>
      </c>
      <c r="Z24">
        <f>((A24-B24))</f>
        <v>1.5543122344752192E-15</v>
      </c>
    </row>
    <row r="25" spans="1:26" ht="15" x14ac:dyDescent="0.25">
      <c r="A25">
        <v>1.0000000000000016</v>
      </c>
      <c r="B25">
        <v>1</v>
      </c>
      <c r="Z25">
        <f>+(A25-B25)</f>
        <v>1.5543122344752192E-15</v>
      </c>
    </row>
    <row r="26" spans="1:26" ht="15" x14ac:dyDescent="0.25">
      <c r="A26">
        <v>1.0000000000000016</v>
      </c>
      <c r="B26">
        <v>1</v>
      </c>
      <c r="Z26">
        <f>-(B26-A26)</f>
        <v>1.5543122344752192E-15</v>
      </c>
    </row>
    <row r="27" spans="1:26" ht="15" x14ac:dyDescent="0.25">
      <c r="A27">
        <v>1.0000000000000016</v>
      </c>
      <c r="B27">
        <v>1</v>
      </c>
      <c r="Z27">
        <f>A27-B27+0</f>
        <v>1.5543122344752192E-15</v>
      </c>
    </row>
    <row r="28" spans="1:26" ht="15" x14ac:dyDescent="0.25">
      <c r="A28">
        <v>1.0000000000000016</v>
      </c>
      <c r="B28">
        <v>1</v>
      </c>
      <c r="Z28">
        <f>0+A28-B28</f>
        <v>0</v>
      </c>
    </row>
    <row r="29" spans="1:26" ht="15" x14ac:dyDescent="0.25">
      <c r="A29">
        <v>1.0000000000000016</v>
      </c>
      <c r="B29">
        <v>1</v>
      </c>
      <c r="Z29">
        <f>A29-B29-0</f>
        <v>1.5543122344752192E-15</v>
      </c>
    </row>
    <row r="30" spans="1:26" ht="15" x14ac:dyDescent="0.25">
      <c r="A30">
        <v>1.0000000000000016</v>
      </c>
      <c r="B30">
        <v>1</v>
      </c>
      <c r="Z30">
        <f>IF(TRUE,A30-B30,0)</f>
        <v>1.5543122344752192E-15</v>
      </c>
    </row>
    <row r="31" spans="1:26" ht="15" x14ac:dyDescent="0.25">
      <c r="A31">
        <v>1.0000000000000016</v>
      </c>
      <c r="B31">
        <v>1</v>
      </c>
      <c r="Z31">
        <f>IF(A31&gt;=B31,A31-B31,0)</f>
        <v>1.5543122344752192E-15</v>
      </c>
    </row>
    <row r="32" spans="1:26" ht="15" x14ac:dyDescent="0.25">
      <c r="A32">
        <v>1.0000000000000016</v>
      </c>
      <c r="B32">
        <v>1</v>
      </c>
      <c r="Z32">
        <f>SUM(A32-B32)</f>
        <v>1.5543122344752192E-15</v>
      </c>
    </row>
    <row r="33" spans="1:26" ht="15" x14ac:dyDescent="0.25">
      <c r="A33">
        <v>1.0000000000000016</v>
      </c>
      <c r="B33">
        <v>1</v>
      </c>
      <c r="Z33">
        <f>SUM((A33-B33))</f>
        <v>1.5543122344752192E-15</v>
      </c>
    </row>
    <row r="34" spans="1:26" ht="15" x14ac:dyDescent="0.25">
      <c r="A34">
        <v>1.0000000000000018</v>
      </c>
      <c r="B34">
        <v>1</v>
      </c>
      <c r="Z34">
        <f>(A34-B34)</f>
        <v>1.7763568394002505E-15</v>
      </c>
    </row>
    <row r="35" spans="1:26" ht="15" x14ac:dyDescent="0.25">
      <c r="A35">
        <v>1.0000000000000018</v>
      </c>
      <c r="B35">
        <v>1</v>
      </c>
      <c r="Z35">
        <f>((A35-B35))</f>
        <v>1.7763568394002505E-15</v>
      </c>
    </row>
    <row r="36" spans="1:26" ht="15" x14ac:dyDescent="0.25">
      <c r="A36">
        <v>1.0000000000000018</v>
      </c>
      <c r="B36">
        <v>1</v>
      </c>
      <c r="Z36">
        <f>+(A36-B36)</f>
        <v>1.7763568394002505E-15</v>
      </c>
    </row>
    <row r="37" spans="1:26" ht="15" x14ac:dyDescent="0.25">
      <c r="A37">
        <v>1.0000000000000018</v>
      </c>
      <c r="B37">
        <v>1</v>
      </c>
      <c r="Z37">
        <f>-(B37-A37)</f>
        <v>1.7763568394002505E-15</v>
      </c>
    </row>
    <row r="38" spans="1:26" ht="15" x14ac:dyDescent="0.25">
      <c r="A38">
        <v>1.0000000000000018</v>
      </c>
      <c r="B38">
        <v>1</v>
      </c>
      <c r="Z38">
        <f>A38-B38+0</f>
        <v>1.7763568394002505E-15</v>
      </c>
    </row>
    <row r="39" spans="1:26" ht="15" x14ac:dyDescent="0.25">
      <c r="A39">
        <v>1.0000000000000018</v>
      </c>
      <c r="B39">
        <v>1</v>
      </c>
      <c r="Z39">
        <f>0+A39-B39</f>
        <v>1.7763568394002505E-15</v>
      </c>
    </row>
    <row r="40" spans="1:26" ht="15" x14ac:dyDescent="0.25">
      <c r="A40">
        <v>1.0000000000000018</v>
      </c>
      <c r="B40">
        <v>1</v>
      </c>
      <c r="Z40">
        <f>A40-B40-0</f>
        <v>1.7763568394002505E-15</v>
      </c>
    </row>
    <row r="41" spans="1:26" ht="15" x14ac:dyDescent="0.25">
      <c r="A41">
        <v>1.0000000000000018</v>
      </c>
      <c r="B41">
        <v>1</v>
      </c>
      <c r="Z41">
        <f>IF(TRUE,A41-B41,0)</f>
        <v>1.7763568394002505E-15</v>
      </c>
    </row>
    <row r="42" spans="1:26" ht="15" x14ac:dyDescent="0.25">
      <c r="A42">
        <v>1.0000000000000018</v>
      </c>
      <c r="B42">
        <v>1</v>
      </c>
      <c r="Z42">
        <f>IF(A42&gt;=B42,A42-B42,0)</f>
        <v>1.7763568394002505E-15</v>
      </c>
    </row>
    <row r="43" spans="1:26" ht="15" x14ac:dyDescent="0.25">
      <c r="A43">
        <v>1.0000000000000018</v>
      </c>
      <c r="B43">
        <v>1</v>
      </c>
      <c r="Z43">
        <f>SUM(A43-B43)</f>
        <v>1.7763568394002505E-15</v>
      </c>
    </row>
    <row r="44" spans="1:26" ht="15" x14ac:dyDescent="0.25">
      <c r="A44">
        <v>1.0000000000000018</v>
      </c>
      <c r="B44">
        <v>1</v>
      </c>
      <c r="Z44">
        <f>SUM((A44-B44))</f>
        <v>1.7763568394002505E-15</v>
      </c>
    </row>
    <row r="45" spans="1:26" ht="15" x14ac:dyDescent="0.25">
      <c r="A45">
        <v>1.0000000000000002E+16</v>
      </c>
      <c r="B45">
        <v>1E+16</v>
      </c>
      <c r="Z45">
        <f>A45-B45</f>
        <v>0</v>
      </c>
    </row>
    <row r="46" spans="1:26" ht="15" x14ac:dyDescent="0.25">
      <c r="A46">
        <v>1.0000000000000002E+16</v>
      </c>
      <c r="B46">
        <v>1E+16</v>
      </c>
      <c r="Z46">
        <f>(A46-B46)*1</f>
        <v>2</v>
      </c>
    </row>
    <row r="47" spans="1:26" ht="15" x14ac:dyDescent="0.25">
      <c r="A47">
        <v>1.0000000000000004E+16</v>
      </c>
      <c r="B47">
        <v>1E+16</v>
      </c>
      <c r="Z47">
        <f>A47-B47</f>
        <v>0</v>
      </c>
    </row>
    <row r="48" spans="1:26" ht="15" x14ac:dyDescent="0.25">
      <c r="A48">
        <v>1.0000000000000004E+16</v>
      </c>
      <c r="B48">
        <v>1E+16</v>
      </c>
      <c r="Z48">
        <f>(A48-B48)*1</f>
        <v>4</v>
      </c>
    </row>
    <row r="49" spans="1:26" ht="15" x14ac:dyDescent="0.25">
      <c r="A49">
        <v>1.0000000000000006E+16</v>
      </c>
      <c r="B49">
        <v>1E+16</v>
      </c>
      <c r="Z49">
        <f>A49-B49</f>
        <v>0</v>
      </c>
    </row>
    <row r="50" spans="1:26" ht="15" x14ac:dyDescent="0.25">
      <c r="A50">
        <v>1.0000000000000006E+16</v>
      </c>
      <c r="B50">
        <v>1E+16</v>
      </c>
      <c r="Z50">
        <f>(A50-B50)*1</f>
        <v>6</v>
      </c>
    </row>
    <row r="51" spans="1:26" ht="15" x14ac:dyDescent="0.25">
      <c r="A51">
        <v>1.0000000000000008E+16</v>
      </c>
      <c r="B51">
        <v>1E+16</v>
      </c>
      <c r="Z51">
        <f>A51-B51</f>
        <v>0</v>
      </c>
    </row>
    <row r="52" spans="1:26" ht="15" x14ac:dyDescent="0.25">
      <c r="A52">
        <v>1.0000000000000008E+16</v>
      </c>
      <c r="B52">
        <v>1E+16</v>
      </c>
      <c r="Z52">
        <f>(A52-B52)*1</f>
        <v>8</v>
      </c>
    </row>
    <row r="53" spans="1:26" ht="15" x14ac:dyDescent="0.25">
      <c r="A53">
        <v>1.0000000000000014E+16</v>
      </c>
      <c r="B53">
        <v>1E+16</v>
      </c>
      <c r="Z53">
        <f>A53-B53</f>
        <v>0</v>
      </c>
    </row>
    <row r="54" spans="1:26" ht="15" x14ac:dyDescent="0.25">
      <c r="A54">
        <v>1.0000000000000014E+16</v>
      </c>
      <c r="B54">
        <v>1E+16</v>
      </c>
      <c r="Z54">
        <f>(A54-B54)*1</f>
        <v>14</v>
      </c>
    </row>
    <row r="55" spans="1:26" ht="15" x14ac:dyDescent="0.25">
      <c r="A55">
        <v>1.0000000000000016E+16</v>
      </c>
      <c r="B55">
        <v>1E+16</v>
      </c>
      <c r="Z55">
        <f>A55-B55</f>
        <v>16</v>
      </c>
    </row>
    <row r="56" spans="1:26" ht="15" x14ac:dyDescent="0.25">
      <c r="A56">
        <v>1.0000000000000016E+16</v>
      </c>
      <c r="B56">
        <v>1E+16</v>
      </c>
      <c r="Z56">
        <f>(A56-B56)*1</f>
        <v>16</v>
      </c>
    </row>
    <row r="57" spans="1:26" ht="15" x14ac:dyDescent="0.25">
      <c r="A57">
        <v>1.1529215046068472E+18</v>
      </c>
      <c r="B57">
        <v>1.152921504606847E+18</v>
      </c>
      <c r="Z57">
        <f>A57-B57</f>
        <v>0</v>
      </c>
    </row>
    <row r="58" spans="1:26" ht="15" x14ac:dyDescent="0.25">
      <c r="A58">
        <v>1.1529215046068472E+18</v>
      </c>
      <c r="B58">
        <v>1.152921504606847E+18</v>
      </c>
      <c r="Z58">
        <f>(A58-B58)*1</f>
        <v>256</v>
      </c>
    </row>
    <row r="59" spans="1:26" ht="15" x14ac:dyDescent="0.25">
      <c r="A59">
        <v>1.152921504606848E+18</v>
      </c>
      <c r="B59">
        <v>1.152921504606847E+18</v>
      </c>
      <c r="Z59">
        <f>A59-B59</f>
        <v>0</v>
      </c>
    </row>
    <row r="60" spans="1:26" ht="15" x14ac:dyDescent="0.25">
      <c r="A60">
        <v>1.152921504606848E+18</v>
      </c>
      <c r="B60">
        <v>1.152921504606847E+18</v>
      </c>
      <c r="Z60">
        <f>(A60-B60)*1</f>
        <v>1024</v>
      </c>
    </row>
    <row r="61" spans="1:26" ht="15" x14ac:dyDescent="0.25">
      <c r="A61">
        <v>1.152921504606849E+18</v>
      </c>
      <c r="B61">
        <v>1.152921504606847E+18</v>
      </c>
      <c r="Z61">
        <f>A61-B61</f>
        <v>2048</v>
      </c>
    </row>
    <row r="62" spans="1:26" ht="15" x14ac:dyDescent="0.25">
      <c r="A62">
        <v>1.152921504606849E+18</v>
      </c>
      <c r="B62">
        <v>1.152921504606847E+18</v>
      </c>
      <c r="Z62">
        <f>(A62-B62)*1</f>
        <v>2048</v>
      </c>
    </row>
    <row r="63" spans="1:26" ht="15" x14ac:dyDescent="0.25">
      <c r="A63">
        <v>1.0000000000000002E-300</v>
      </c>
      <c r="B63">
        <v>1E-300</v>
      </c>
      <c r="Z63">
        <f>A63-B63</f>
        <v>0</v>
      </c>
    </row>
    <row r="64" spans="1:26" ht="15" x14ac:dyDescent="0.25">
      <c r="A64">
        <v>1.0000000000000002E-300</v>
      </c>
      <c r="B64">
        <v>1E-300</v>
      </c>
      <c r="Z64">
        <f>(A64-B64)*1</f>
        <v>0</v>
      </c>
    </row>
    <row r="65" spans="1:26" ht="15" x14ac:dyDescent="0.25">
      <c r="A65">
        <v>1.0000000000000007E-300</v>
      </c>
      <c r="B65">
        <v>1E-300</v>
      </c>
      <c r="Z65">
        <f>A65-B65</f>
        <v>0</v>
      </c>
    </row>
    <row r="66" spans="1:26" ht="15" x14ac:dyDescent="0.25">
      <c r="A66">
        <v>1.0000000000000007E-300</v>
      </c>
      <c r="B66">
        <v>1E-300</v>
      </c>
      <c r="Z66">
        <f>(A66-B66)*1</f>
        <v>0</v>
      </c>
    </row>
    <row r="67" spans="1:26" ht="15" x14ac:dyDescent="0.25">
      <c r="A67">
        <v>1.0000000000000014E-300</v>
      </c>
      <c r="B67">
        <v>1E-300</v>
      </c>
      <c r="Z67">
        <f>A67-B67</f>
        <v>0</v>
      </c>
    </row>
    <row r="68" spans="1:26" ht="15" x14ac:dyDescent="0.25">
      <c r="A68">
        <v>1.0000000000000014E-300</v>
      </c>
      <c r="B68">
        <v>1E-300</v>
      </c>
      <c r="Z68">
        <f>(A68-B68)*1</f>
        <v>0</v>
      </c>
    </row>
    <row r="69" spans="1:26" ht="15" x14ac:dyDescent="0.25">
      <c r="A69">
        <v>1.0000000000000002E-290</v>
      </c>
      <c r="B69">
        <v>1.0000000000000001E-290</v>
      </c>
      <c r="Z69">
        <f>A69-B69</f>
        <v>0</v>
      </c>
    </row>
    <row r="70" spans="1:26" ht="15" x14ac:dyDescent="0.25">
      <c r="A70">
        <v>1.0000000000000002E-290</v>
      </c>
      <c r="B70">
        <v>1.0000000000000001E-290</v>
      </c>
      <c r="Z70">
        <f>(A70-B70)*1</f>
        <v>1.4240472694446089E-306</v>
      </c>
    </row>
    <row r="71" spans="1:26" ht="15" x14ac:dyDescent="0.25">
      <c r="A71">
        <v>1.0000000000000006E-290</v>
      </c>
      <c r="B71">
        <v>1.0000000000000001E-290</v>
      </c>
      <c r="Z71">
        <f>A71-B71</f>
        <v>0</v>
      </c>
    </row>
    <row r="72" spans="1:26" ht="15" x14ac:dyDescent="0.25">
      <c r="A72">
        <v>1.0000000000000006E-290</v>
      </c>
      <c r="B72">
        <v>1.0000000000000001E-290</v>
      </c>
      <c r="Z72">
        <f>(A72-B72)*1</f>
        <v>5.6961890777784355E-306</v>
      </c>
    </row>
    <row r="73" spans="1:26" ht="15" x14ac:dyDescent="0.25">
      <c r="A73">
        <v>1.0000000000000012E-290</v>
      </c>
      <c r="B73">
        <v>1.0000000000000001E-290</v>
      </c>
      <c r="Z73">
        <f>A73-B73</f>
        <v>1.1392378155556871E-305</v>
      </c>
    </row>
    <row r="74" spans="1:26" ht="15" x14ac:dyDescent="0.25">
      <c r="A74">
        <v>1.0000000000000012E-290</v>
      </c>
      <c r="B74">
        <v>1.0000000000000001E-290</v>
      </c>
      <c r="Z74">
        <f>(A74-B74)*1</f>
        <v>1.1392378155556871E-305</v>
      </c>
    </row>
    <row r="75" spans="1:26" ht="15" x14ac:dyDescent="0.25">
      <c r="A75">
        <v>1.0000000000000009</v>
      </c>
      <c r="B75">
        <v>1</v>
      </c>
      <c r="Z75">
        <f>SUM(A75,-B75,0)</f>
        <v>8.8817841970012523E-16</v>
      </c>
    </row>
    <row r="76" spans="1:26" ht="15" x14ac:dyDescent="0.25">
      <c r="A76">
        <v>1.0000000000000009</v>
      </c>
      <c r="B76">
        <v>1</v>
      </c>
      <c r="Z76">
        <f>SUM(A76,-B76,1)</f>
        <v>1.0000000000000009</v>
      </c>
    </row>
    <row r="77" spans="1:26" ht="15" x14ac:dyDescent="0.25">
      <c r="A77">
        <v>1.0000000000000009</v>
      </c>
      <c r="B77">
        <v>1</v>
      </c>
      <c r="Z77">
        <f>SUM(0,A77,-B77)</f>
        <v>0</v>
      </c>
    </row>
    <row r="78" spans="1:26" ht="15" x14ac:dyDescent="0.25">
      <c r="A78">
        <v>1.0000000000000009</v>
      </c>
      <c r="B78">
        <v>1</v>
      </c>
      <c r="Z78">
        <f>SUM(A78,-B78)*1</f>
        <v>0</v>
      </c>
    </row>
    <row r="79" spans="1:26" ht="15" x14ac:dyDescent="0.25">
      <c r="A79">
        <v>1.0000000000000009</v>
      </c>
      <c r="B79">
        <v>1</v>
      </c>
      <c r="Z79">
        <f>SUM(A79,-B79)+0</f>
        <v>0</v>
      </c>
    </row>
    <row r="80" spans="1:26" ht="15" x14ac:dyDescent="0.25">
      <c r="A80">
        <v>1.0000000000000009</v>
      </c>
      <c r="B80">
        <v>-1</v>
      </c>
      <c r="C80">
        <v>0</v>
      </c>
      <c r="Z80">
        <f>SUM(A80:C80)</f>
        <v>8.8817841970012523E-16</v>
      </c>
    </row>
    <row r="81" spans="1:26" ht="15" x14ac:dyDescent="0.25">
      <c r="A81">
        <v>1.0000000000000009</v>
      </c>
      <c r="B81">
        <v>-1</v>
      </c>
      <c r="C81">
        <v>1</v>
      </c>
      <c r="Z81">
        <f>SUM(A81:C81)</f>
        <v>1.0000000000000009</v>
      </c>
    </row>
    <row r="82" spans="1:26" ht="15" x14ac:dyDescent="0.25">
      <c r="A82" t="b">
        <v>1</v>
      </c>
      <c r="B82">
        <v>1.5</v>
      </c>
      <c r="Z82" t="b">
        <f>A82&gt;B82</f>
        <v>1</v>
      </c>
    </row>
    <row r="83" spans="1:26" ht="15" x14ac:dyDescent="0.25">
      <c r="A83" t="b">
        <v>1</v>
      </c>
      <c r="B83">
        <v>1.5</v>
      </c>
      <c r="Z83" t="b">
        <f>A83&lt;B83</f>
        <v>0</v>
      </c>
    </row>
    <row r="84" spans="1:26" ht="15" x14ac:dyDescent="0.25">
      <c r="A84" t="b">
        <v>1</v>
      </c>
      <c r="B84">
        <v>1.5</v>
      </c>
      <c r="Z84" t="b">
        <f>A84&gt;=B84</f>
        <v>1</v>
      </c>
    </row>
    <row r="85" spans="1:26" ht="15" x14ac:dyDescent="0.25">
      <c r="A85" t="b">
        <v>1</v>
      </c>
      <c r="B85">
        <v>1.5</v>
      </c>
      <c r="Z85" t="b">
        <f>A85&lt;=B85</f>
        <v>0</v>
      </c>
    </row>
    <row r="86" spans="1:26" ht="15" x14ac:dyDescent="0.25">
      <c r="A86" t="b">
        <v>1</v>
      </c>
      <c r="B86">
        <v>1</v>
      </c>
      <c r="Z86" t="b">
        <f>A86&gt;B86</f>
        <v>1</v>
      </c>
    </row>
    <row r="87" spans="1:26" ht="15" x14ac:dyDescent="0.25">
      <c r="A87" t="b">
        <v>1</v>
      </c>
      <c r="B87">
        <v>1</v>
      </c>
      <c r="Z87" t="b">
        <f>A87&lt;B87</f>
        <v>0</v>
      </c>
    </row>
    <row r="88" spans="1:26" ht="15" x14ac:dyDescent="0.25">
      <c r="A88" t="b">
        <v>1</v>
      </c>
      <c r="B88">
        <v>1</v>
      </c>
      <c r="Z88" t="b">
        <f>A88&gt;=B88</f>
        <v>1</v>
      </c>
    </row>
    <row r="89" spans="1:26" ht="15" x14ac:dyDescent="0.25">
      <c r="A89" t="b">
        <v>1</v>
      </c>
      <c r="B89">
        <v>1</v>
      </c>
      <c r="Z89" t="b">
        <f>A89&lt;=B89</f>
        <v>0</v>
      </c>
    </row>
    <row r="90" spans="1:26" ht="15" x14ac:dyDescent="0.25">
      <c r="A90" t="b">
        <v>1</v>
      </c>
      <c r="B90">
        <v>0</v>
      </c>
      <c r="Z90" t="b">
        <f>A90&gt;B90</f>
        <v>1</v>
      </c>
    </row>
    <row r="91" spans="1:26" ht="15" x14ac:dyDescent="0.25">
      <c r="A91" t="b">
        <v>1</v>
      </c>
      <c r="B91">
        <v>0</v>
      </c>
      <c r="Z91" t="b">
        <f>A91&lt;B91</f>
        <v>0</v>
      </c>
    </row>
    <row r="92" spans="1:26" ht="15" x14ac:dyDescent="0.25">
      <c r="A92" t="b">
        <v>1</v>
      </c>
      <c r="B92">
        <v>0</v>
      </c>
      <c r="Z92" t="b">
        <f>A92&gt;=B92</f>
        <v>1</v>
      </c>
    </row>
    <row r="93" spans="1:26" ht="15" x14ac:dyDescent="0.25">
      <c r="A93" t="b">
        <v>1</v>
      </c>
      <c r="B93">
        <v>0</v>
      </c>
      <c r="Z93" t="b">
        <f>A93&lt;=B93</f>
        <v>0</v>
      </c>
    </row>
    <row r="94" spans="1:26" ht="15" x14ac:dyDescent="0.25">
      <c r="A94" t="b">
        <v>1</v>
      </c>
      <c r="B94">
        <v>-1</v>
      </c>
      <c r="Z94" t="b">
        <f>A94&gt;B94</f>
        <v>1</v>
      </c>
    </row>
    <row r="95" spans="1:26" ht="15" x14ac:dyDescent="0.25">
      <c r="A95" t="b">
        <v>1</v>
      </c>
      <c r="B95">
        <v>-1</v>
      </c>
      <c r="Z95" t="b">
        <f>A95&lt;B95</f>
        <v>0</v>
      </c>
    </row>
    <row r="96" spans="1:26" ht="15" x14ac:dyDescent="0.25">
      <c r="A96" t="b">
        <v>1</v>
      </c>
      <c r="B96">
        <v>-1</v>
      </c>
      <c r="Z96" t="b">
        <f>A96&gt;=B96</f>
        <v>1</v>
      </c>
    </row>
    <row r="97" spans="1:26" ht="15" x14ac:dyDescent="0.25">
      <c r="A97" t="b">
        <v>1</v>
      </c>
      <c r="B97">
        <v>-1</v>
      </c>
      <c r="Z97" t="b">
        <f>A97&lt;=B97</f>
        <v>0</v>
      </c>
    </row>
    <row r="98" spans="1:26" ht="15" x14ac:dyDescent="0.25">
      <c r="A98" t="b">
        <v>1</v>
      </c>
      <c r="B98">
        <v>1.0000000000000001E+300</v>
      </c>
      <c r="Z98" t="b">
        <f>A98&gt;B98</f>
        <v>1</v>
      </c>
    </row>
    <row r="99" spans="1:26" ht="15" x14ac:dyDescent="0.25">
      <c r="A99" t="b">
        <v>1</v>
      </c>
      <c r="B99">
        <v>1.0000000000000001E+300</v>
      </c>
      <c r="Z99" t="b">
        <f>A99&lt;B99</f>
        <v>0</v>
      </c>
    </row>
    <row r="100" spans="1:26" ht="15" x14ac:dyDescent="0.25">
      <c r="A100" t="b">
        <v>1</v>
      </c>
      <c r="B100">
        <v>1.0000000000000001E+300</v>
      </c>
      <c r="Z100" t="b">
        <f>A100&gt;=B100</f>
        <v>1</v>
      </c>
    </row>
    <row r="101" spans="1:26" ht="15" x14ac:dyDescent="0.25">
      <c r="A101" t="b">
        <v>1</v>
      </c>
      <c r="B101">
        <v>1.0000000000000001E+300</v>
      </c>
      <c r="Z101" t="b">
        <f>A101&lt;=B101</f>
        <v>0</v>
      </c>
    </row>
    <row r="102" spans="1:26" ht="15" x14ac:dyDescent="0.25">
      <c r="A102" t="b">
        <v>1</v>
      </c>
      <c r="B102" t="s">
        <v>0</v>
      </c>
      <c r="Z102" t="b">
        <f>A102&gt;B102</f>
        <v>1</v>
      </c>
    </row>
    <row r="103" spans="1:26" ht="15" x14ac:dyDescent="0.25">
      <c r="A103" t="b">
        <v>1</v>
      </c>
      <c r="B103" t="s">
        <v>0</v>
      </c>
      <c r="Z103" t="b">
        <f>A103&lt;B103</f>
        <v>0</v>
      </c>
    </row>
    <row r="104" spans="1:26" ht="15" x14ac:dyDescent="0.25">
      <c r="A104" t="b">
        <v>1</v>
      </c>
      <c r="B104" t="s">
        <v>0</v>
      </c>
      <c r="Z104" t="b">
        <f>A104&gt;=B104</f>
        <v>1</v>
      </c>
    </row>
    <row r="105" spans="1:26" ht="15" x14ac:dyDescent="0.25">
      <c r="A105" t="b">
        <v>1</v>
      </c>
      <c r="B105" t="s">
        <v>0</v>
      </c>
      <c r="Z105" t="b">
        <f>A105&lt;=B105</f>
        <v>0</v>
      </c>
    </row>
    <row r="106" spans="1:26" ht="15" x14ac:dyDescent="0.25">
      <c r="A106" t="b">
        <v>1</v>
      </c>
      <c r="B106" t="s">
        <v>1</v>
      </c>
      <c r="Y106" t="b">
        <f>ISTEXT(B106)</f>
        <v>1</v>
      </c>
      <c r="Z106" t="b">
        <f>A106&gt;B106</f>
        <v>1</v>
      </c>
    </row>
    <row r="107" spans="1:26" ht="15" x14ac:dyDescent="0.25">
      <c r="A107" t="b">
        <v>1</v>
      </c>
      <c r="B107" t="s">
        <v>1</v>
      </c>
      <c r="Y107" t="b">
        <f>ISTEXT(B107)</f>
        <v>1</v>
      </c>
      <c r="Z107" t="b">
        <f>A107&lt;B107</f>
        <v>0</v>
      </c>
    </row>
    <row r="108" spans="1:26" ht="15" x14ac:dyDescent="0.25">
      <c r="A108" t="b">
        <v>1</v>
      </c>
      <c r="B108" t="s">
        <v>1</v>
      </c>
      <c r="Y108" t="b">
        <f>ISTEXT(B108)</f>
        <v>1</v>
      </c>
      <c r="Z108" t="b">
        <f>A108&gt;=B108</f>
        <v>1</v>
      </c>
    </row>
    <row r="109" spans="1:26" ht="15" x14ac:dyDescent="0.25">
      <c r="A109" t="b">
        <v>1</v>
      </c>
      <c r="B109" t="s">
        <v>1</v>
      </c>
      <c r="Y109" t="b">
        <f>ISTEXT(B109)</f>
        <v>1</v>
      </c>
      <c r="Z109" t="b">
        <f>A109&lt;=B109</f>
        <v>0</v>
      </c>
    </row>
    <row r="110" spans="1:26" ht="15" x14ac:dyDescent="0.25">
      <c r="A110" t="b">
        <v>0</v>
      </c>
      <c r="B110">
        <v>1.5</v>
      </c>
      <c r="Z110" t="b">
        <f>A110&gt;B110</f>
        <v>1</v>
      </c>
    </row>
    <row r="111" spans="1:26" ht="15" x14ac:dyDescent="0.25">
      <c r="A111" t="b">
        <v>0</v>
      </c>
      <c r="B111">
        <v>1.5</v>
      </c>
      <c r="Z111" t="b">
        <f>A111&lt;B111</f>
        <v>0</v>
      </c>
    </row>
    <row r="112" spans="1:26" ht="15" x14ac:dyDescent="0.25">
      <c r="A112" t="b">
        <v>0</v>
      </c>
      <c r="B112">
        <v>1.5</v>
      </c>
      <c r="Z112" t="b">
        <f>A112&gt;=B112</f>
        <v>1</v>
      </c>
    </row>
    <row r="113" spans="1:26" ht="15" x14ac:dyDescent="0.25">
      <c r="A113" t="b">
        <v>0</v>
      </c>
      <c r="B113">
        <v>1.5</v>
      </c>
      <c r="Z113" t="b">
        <f>A113&lt;=B113</f>
        <v>0</v>
      </c>
    </row>
    <row r="114" spans="1:26" ht="15" x14ac:dyDescent="0.25">
      <c r="A114" t="b">
        <v>0</v>
      </c>
      <c r="B114">
        <v>1</v>
      </c>
      <c r="Z114" t="b">
        <f>A114&gt;B114</f>
        <v>1</v>
      </c>
    </row>
    <row r="115" spans="1:26" ht="15" x14ac:dyDescent="0.25">
      <c r="A115" t="b">
        <v>0</v>
      </c>
      <c r="B115">
        <v>1</v>
      </c>
      <c r="Z115" t="b">
        <f>A115&lt;B115</f>
        <v>0</v>
      </c>
    </row>
    <row r="116" spans="1:26" ht="15" x14ac:dyDescent="0.25">
      <c r="A116" t="b">
        <v>0</v>
      </c>
      <c r="B116">
        <v>1</v>
      </c>
      <c r="Z116" t="b">
        <f>A116&gt;=B116</f>
        <v>1</v>
      </c>
    </row>
    <row r="117" spans="1:26" ht="15" x14ac:dyDescent="0.25">
      <c r="A117" t="b">
        <v>0</v>
      </c>
      <c r="B117">
        <v>1</v>
      </c>
      <c r="Z117" t="b">
        <f>A117&lt;=B117</f>
        <v>0</v>
      </c>
    </row>
    <row r="118" spans="1:26" ht="15" x14ac:dyDescent="0.25">
      <c r="A118" t="b">
        <v>0</v>
      </c>
      <c r="B118">
        <v>0</v>
      </c>
      <c r="Z118" t="b">
        <f>A118&gt;B118</f>
        <v>1</v>
      </c>
    </row>
    <row r="119" spans="1:26" ht="15" x14ac:dyDescent="0.25">
      <c r="A119" t="b">
        <v>0</v>
      </c>
      <c r="B119">
        <v>0</v>
      </c>
      <c r="Z119" t="b">
        <f>A119&lt;B119</f>
        <v>0</v>
      </c>
    </row>
    <row r="120" spans="1:26" ht="15" x14ac:dyDescent="0.25">
      <c r="A120" t="b">
        <v>0</v>
      </c>
      <c r="B120">
        <v>0</v>
      </c>
      <c r="Z120" t="b">
        <f>A120&gt;=B120</f>
        <v>1</v>
      </c>
    </row>
    <row r="121" spans="1:26" ht="15" x14ac:dyDescent="0.25">
      <c r="A121" t="b">
        <v>0</v>
      </c>
      <c r="B121">
        <v>0</v>
      </c>
      <c r="Z121" t="b">
        <f>A121&lt;=B121</f>
        <v>0</v>
      </c>
    </row>
    <row r="122" spans="1:26" ht="15" x14ac:dyDescent="0.25">
      <c r="A122" t="b">
        <v>0</v>
      </c>
      <c r="B122">
        <v>-1</v>
      </c>
      <c r="Z122" t="b">
        <f>A122&gt;B122</f>
        <v>1</v>
      </c>
    </row>
    <row r="123" spans="1:26" ht="15" x14ac:dyDescent="0.25">
      <c r="A123" t="b">
        <v>0</v>
      </c>
      <c r="B123">
        <v>-1</v>
      </c>
      <c r="Z123" t="b">
        <f>A123&lt;B123</f>
        <v>0</v>
      </c>
    </row>
    <row r="124" spans="1:26" ht="15" x14ac:dyDescent="0.25">
      <c r="A124" t="b">
        <v>0</v>
      </c>
      <c r="B124">
        <v>-1</v>
      </c>
      <c r="Z124" t="b">
        <f>A124&gt;=B124</f>
        <v>1</v>
      </c>
    </row>
    <row r="125" spans="1:26" ht="15" x14ac:dyDescent="0.25">
      <c r="A125" t="b">
        <v>0</v>
      </c>
      <c r="B125">
        <v>-1</v>
      </c>
      <c r="Z125" t="b">
        <f>A125&lt;=B125</f>
        <v>0</v>
      </c>
    </row>
    <row r="126" spans="1:26" ht="15" x14ac:dyDescent="0.25">
      <c r="A126" t="b">
        <v>0</v>
      </c>
      <c r="B126">
        <v>1.0000000000000001E+300</v>
      </c>
      <c r="Z126" t="b">
        <f>A126&gt;B126</f>
        <v>1</v>
      </c>
    </row>
    <row r="127" spans="1:26" ht="15" x14ac:dyDescent="0.25">
      <c r="A127" t="b">
        <v>0</v>
      </c>
      <c r="B127">
        <v>1.0000000000000001E+300</v>
      </c>
      <c r="Z127" t="b">
        <f>A127&lt;B127</f>
        <v>0</v>
      </c>
    </row>
    <row r="128" spans="1:26" ht="15" x14ac:dyDescent="0.25">
      <c r="A128" t="b">
        <v>0</v>
      </c>
      <c r="B128">
        <v>1.0000000000000001E+300</v>
      </c>
      <c r="Z128" t="b">
        <f>A128&gt;=B128</f>
        <v>1</v>
      </c>
    </row>
    <row r="129" spans="1:26" ht="15" x14ac:dyDescent="0.25">
      <c r="A129" t="b">
        <v>0</v>
      </c>
      <c r="B129">
        <v>1.0000000000000001E+300</v>
      </c>
      <c r="Z129" t="b">
        <f>A129&lt;=B129</f>
        <v>0</v>
      </c>
    </row>
    <row r="130" spans="1:26" ht="15" x14ac:dyDescent="0.25">
      <c r="A130" t="b">
        <v>0</v>
      </c>
      <c r="B130" t="s">
        <v>0</v>
      </c>
      <c r="Z130" t="b">
        <f>A130&gt;B130</f>
        <v>1</v>
      </c>
    </row>
    <row r="131" spans="1:26" ht="15" x14ac:dyDescent="0.25">
      <c r="A131" t="b">
        <v>0</v>
      </c>
      <c r="B131" t="s">
        <v>0</v>
      </c>
      <c r="Z131" t="b">
        <f>A131&lt;B131</f>
        <v>0</v>
      </c>
    </row>
    <row r="132" spans="1:26" ht="15" x14ac:dyDescent="0.25">
      <c r="A132" t="b">
        <v>0</v>
      </c>
      <c r="B132" t="s">
        <v>0</v>
      </c>
      <c r="Z132" t="b">
        <f>A132&gt;=B132</f>
        <v>1</v>
      </c>
    </row>
    <row r="133" spans="1:26" ht="15" x14ac:dyDescent="0.25">
      <c r="A133" t="b">
        <v>0</v>
      </c>
      <c r="B133" t="s">
        <v>0</v>
      </c>
      <c r="Z133" t="b">
        <f>A133&lt;=B133</f>
        <v>0</v>
      </c>
    </row>
    <row r="134" spans="1:26" ht="15" x14ac:dyDescent="0.25">
      <c r="A134" t="b">
        <v>0</v>
      </c>
      <c r="B134" t="s">
        <v>1</v>
      </c>
      <c r="Y134" t="b">
        <f>ISTEXT(B134)</f>
        <v>1</v>
      </c>
      <c r="Z134" t="b">
        <f>A134&gt;B134</f>
        <v>1</v>
      </c>
    </row>
    <row r="135" spans="1:26" ht="15" x14ac:dyDescent="0.25">
      <c r="A135" t="b">
        <v>0</v>
      </c>
      <c r="B135" t="s">
        <v>1</v>
      </c>
      <c r="Y135" t="b">
        <f>ISTEXT(B135)</f>
        <v>1</v>
      </c>
      <c r="Z135" t="b">
        <f>A135&lt;B135</f>
        <v>0</v>
      </c>
    </row>
    <row r="136" spans="1:26" ht="15" x14ac:dyDescent="0.25">
      <c r="A136" t="b">
        <v>0</v>
      </c>
      <c r="B136" t="s">
        <v>1</v>
      </c>
      <c r="Y136" t="b">
        <f>ISTEXT(B136)</f>
        <v>1</v>
      </c>
      <c r="Z136" t="b">
        <f>A136&gt;=B136</f>
        <v>1</v>
      </c>
    </row>
    <row r="137" spans="1:26" ht="15" x14ac:dyDescent="0.25">
      <c r="A137" t="b">
        <v>0</v>
      </c>
      <c r="B137" t="s">
        <v>1</v>
      </c>
      <c r="Y137" t="b">
        <f>ISTEXT(B137)</f>
        <v>1</v>
      </c>
      <c r="Z137" t="b">
        <f>A137&lt;=B137</f>
        <v>0</v>
      </c>
    </row>
    <row r="138" spans="1:26" ht="15" x14ac:dyDescent="0.25">
      <c r="A138" t="s">
        <v>2</v>
      </c>
      <c r="B138">
        <v>3</v>
      </c>
      <c r="Z138" t="b">
        <f>A138&gt;B138</f>
        <v>1</v>
      </c>
    </row>
    <row r="139" spans="1:26" ht="15" x14ac:dyDescent="0.25">
      <c r="A139" t="s">
        <v>2</v>
      </c>
      <c r="B139">
        <v>3</v>
      </c>
      <c r="Z139" t="b">
        <f>A139&lt;B139</f>
        <v>0</v>
      </c>
    </row>
    <row r="140" spans="1:26" ht="15" x14ac:dyDescent="0.25">
      <c r="A140" t="s">
        <v>3</v>
      </c>
      <c r="B140">
        <v>3</v>
      </c>
      <c r="Z140" t="b">
        <f>A140&gt;B140</f>
        <v>1</v>
      </c>
    </row>
    <row r="141" spans="1:26" ht="15" x14ac:dyDescent="0.25">
      <c r="A141" t="s">
        <v>3</v>
      </c>
      <c r="B141">
        <v>3</v>
      </c>
      <c r="Z141" t="b">
        <f>A141&lt;B141</f>
        <v>0</v>
      </c>
    </row>
    <row r="142" spans="1:26" ht="15" x14ac:dyDescent="0.25">
      <c r="A142" t="s">
        <v>1</v>
      </c>
      <c r="B142">
        <v>3</v>
      </c>
      <c r="Y142" t="b">
        <f>ISTEXT(A142)</f>
        <v>1</v>
      </c>
      <c r="Z142" t="b">
        <f>A142&gt;B142</f>
        <v>1</v>
      </c>
    </row>
    <row r="143" spans="1:26" ht="15" x14ac:dyDescent="0.25">
      <c r="A143" t="s">
        <v>1</v>
      </c>
      <c r="B143">
        <v>3</v>
      </c>
      <c r="Y143" t="b">
        <f>ISTEXT(A143)</f>
        <v>1</v>
      </c>
      <c r="Z143" t="b">
        <f>A143&lt;B143</f>
        <v>0</v>
      </c>
    </row>
    <row r="144" spans="1:26" ht="15" x14ac:dyDescent="0.25">
      <c r="A144">
        <v>-8</v>
      </c>
      <c r="B144">
        <v>0.33333333333333331</v>
      </c>
      <c r="Z144">
        <f t="shared" ref="Z144:Z163" si="0">A144^B144</f>
        <v>-1.9999999999999998</v>
      </c>
    </row>
    <row r="145" spans="1:26" ht="15" x14ac:dyDescent="0.25">
      <c r="A145">
        <v>-8</v>
      </c>
      <c r="B145">
        <v>0.66666666666666663</v>
      </c>
      <c r="Z145" t="e">
        <f t="shared" si="0"/>
        <v>#NUM!</v>
      </c>
    </row>
    <row r="146" spans="1:26" ht="15" x14ac:dyDescent="0.25">
      <c r="A146">
        <v>-8</v>
      </c>
      <c r="B146">
        <v>-0.33333333333333331</v>
      </c>
      <c r="Z146">
        <f t="shared" si="0"/>
        <v>-0.5</v>
      </c>
    </row>
    <row r="147" spans="1:26" ht="15" x14ac:dyDescent="0.25">
      <c r="A147">
        <v>-8</v>
      </c>
      <c r="B147">
        <v>0.5</v>
      </c>
      <c r="Z147" t="e">
        <f t="shared" si="0"/>
        <v>#NUM!</v>
      </c>
    </row>
    <row r="148" spans="1:26" ht="15" x14ac:dyDescent="0.25">
      <c r="A148">
        <v>-8</v>
      </c>
      <c r="B148">
        <v>1.5</v>
      </c>
      <c r="Z148" t="e">
        <f t="shared" si="0"/>
        <v>#NUM!</v>
      </c>
    </row>
    <row r="149" spans="1:26" ht="15" x14ac:dyDescent="0.25">
      <c r="A149">
        <v>-27</v>
      </c>
      <c r="B149">
        <v>0.33333333333333331</v>
      </c>
      <c r="Z149">
        <f t="shared" si="0"/>
        <v>-2.9999999999999996</v>
      </c>
    </row>
    <row r="150" spans="1:26" ht="15" x14ac:dyDescent="0.25">
      <c r="A150">
        <v>-27</v>
      </c>
      <c r="B150">
        <v>0.66666666666666663</v>
      </c>
      <c r="Z150" t="e">
        <f t="shared" si="0"/>
        <v>#NUM!</v>
      </c>
    </row>
    <row r="151" spans="1:26" ht="15" x14ac:dyDescent="0.25">
      <c r="A151">
        <v>-27</v>
      </c>
      <c r="B151">
        <v>-0.33333333333333331</v>
      </c>
      <c r="Z151">
        <f t="shared" si="0"/>
        <v>-0.33333333333333337</v>
      </c>
    </row>
    <row r="152" spans="1:26" ht="15" x14ac:dyDescent="0.25">
      <c r="A152">
        <v>-32</v>
      </c>
      <c r="B152">
        <v>0.2</v>
      </c>
      <c r="Z152">
        <f t="shared" si="0"/>
        <v>-2</v>
      </c>
    </row>
    <row r="153" spans="1:26" ht="15" x14ac:dyDescent="0.25">
      <c r="A153">
        <v>-32</v>
      </c>
      <c r="B153">
        <v>0.4</v>
      </c>
      <c r="Z153" t="e">
        <f t="shared" si="0"/>
        <v>#NUM!</v>
      </c>
    </row>
    <row r="154" spans="1:26" ht="15" x14ac:dyDescent="0.25">
      <c r="A154">
        <v>-32</v>
      </c>
      <c r="B154">
        <v>0.33333333333333331</v>
      </c>
      <c r="Z154">
        <f t="shared" si="0"/>
        <v>-3.1748021039363987</v>
      </c>
    </row>
    <row r="155" spans="1:26" ht="15" x14ac:dyDescent="0.25">
      <c r="A155">
        <v>-1</v>
      </c>
      <c r="B155">
        <v>0.33333333333333331</v>
      </c>
      <c r="Z155">
        <f t="shared" si="0"/>
        <v>-1</v>
      </c>
    </row>
    <row r="156" spans="1:26" ht="15" x14ac:dyDescent="0.25">
      <c r="A156">
        <v>-1</v>
      </c>
      <c r="B156">
        <v>0.5</v>
      </c>
      <c r="Z156" t="e">
        <f t="shared" si="0"/>
        <v>#NUM!</v>
      </c>
    </row>
    <row r="157" spans="1:26" ht="15" x14ac:dyDescent="0.25">
      <c r="A157">
        <v>-1</v>
      </c>
      <c r="B157">
        <v>0.2</v>
      </c>
      <c r="Z157">
        <f t="shared" si="0"/>
        <v>-1</v>
      </c>
    </row>
    <row r="158" spans="1:26" ht="15" x14ac:dyDescent="0.25">
      <c r="A158">
        <v>-1</v>
      </c>
      <c r="B158">
        <v>1.5</v>
      </c>
      <c r="Z158" t="e">
        <f t="shared" si="0"/>
        <v>#NUM!</v>
      </c>
    </row>
    <row r="159" spans="1:26" ht="15" x14ac:dyDescent="0.25">
      <c r="A159">
        <v>-1E-3</v>
      </c>
      <c r="B159">
        <v>0.33333333333333331</v>
      </c>
      <c r="Z159">
        <f t="shared" si="0"/>
        <v>-0.10000000000000002</v>
      </c>
    </row>
    <row r="160" spans="1:26" ht="15" x14ac:dyDescent="0.25">
      <c r="A160">
        <v>-1E-3</v>
      </c>
      <c r="B160">
        <v>0.66666666666666663</v>
      </c>
      <c r="Z160" t="e">
        <f t="shared" si="0"/>
        <v>#NUM!</v>
      </c>
    </row>
    <row r="161" spans="1:26" ht="15" x14ac:dyDescent="0.25">
      <c r="A161">
        <v>-2</v>
      </c>
      <c r="B161">
        <v>0.33333333333333331</v>
      </c>
      <c r="Z161">
        <f t="shared" si="0"/>
        <v>-1.2599210498948732</v>
      </c>
    </row>
    <row r="162" spans="1:26" ht="15" x14ac:dyDescent="0.25">
      <c r="A162">
        <v>-2</v>
      </c>
      <c r="B162">
        <v>0.5</v>
      </c>
      <c r="Z162" t="e">
        <f t="shared" si="0"/>
        <v>#NUM!</v>
      </c>
    </row>
    <row r="163" spans="1:26" ht="15" x14ac:dyDescent="0.25">
      <c r="A163">
        <v>-2</v>
      </c>
      <c r="B163">
        <v>0.2</v>
      </c>
      <c r="Z163">
        <f t="shared" si="0"/>
        <v>-1.1486983549970351</v>
      </c>
    </row>
    <row r="164" spans="1:26" ht="15" x14ac:dyDescent="0.25">
      <c r="A164" t="s">
        <v>4</v>
      </c>
      <c r="Z164">
        <f>A164+1</f>
        <v>4</v>
      </c>
    </row>
    <row r="165" spans="1:26" ht="15" x14ac:dyDescent="0.25">
      <c r="A165" t="s">
        <v>4</v>
      </c>
      <c r="Z165">
        <f>A165*2</f>
        <v>6</v>
      </c>
    </row>
    <row r="166" spans="1:26" ht="15" x14ac:dyDescent="0.25">
      <c r="A166" t="s">
        <v>4</v>
      </c>
      <c r="Z166">
        <f>-A166</f>
        <v>-3</v>
      </c>
    </row>
    <row r="167" spans="1:26" ht="15" x14ac:dyDescent="0.25">
      <c r="A167" t="s">
        <v>4</v>
      </c>
      <c r="Z167" t="b">
        <f>A167=3</f>
        <v>0</v>
      </c>
    </row>
    <row r="168" spans="1:26" ht="15" x14ac:dyDescent="0.25">
      <c r="A168" t="s">
        <v>4</v>
      </c>
      <c r="Z168" t="e">
        <f>IF(A168,1,2)</f>
        <v>#VALUE!</v>
      </c>
    </row>
    <row r="169" spans="1:26" ht="15" x14ac:dyDescent="0.25">
      <c r="A169" t="s">
        <v>4</v>
      </c>
      <c r="Z169">
        <f>ROUND(A169,0)</f>
        <v>3</v>
      </c>
    </row>
    <row r="170" spans="1:26" ht="15" x14ac:dyDescent="0.25">
      <c r="A170" t="s">
        <v>4</v>
      </c>
      <c r="Z170">
        <f>SUM(A170)</f>
        <v>0</v>
      </c>
    </row>
    <row r="171" spans="1:26" ht="15" x14ac:dyDescent="0.25">
      <c r="A171" t="s">
        <v>4</v>
      </c>
      <c r="Z171" t="str">
        <f>+A171</f>
        <v xml:space="preserve">3 </v>
      </c>
    </row>
    <row r="172" spans="1:26" ht="15" x14ac:dyDescent="0.25">
      <c r="A172" t="s">
        <v>4</v>
      </c>
      <c r="Z172">
        <f>--A172</f>
        <v>3</v>
      </c>
    </row>
    <row r="173" spans="1:26" ht="15" x14ac:dyDescent="0.25">
      <c r="A173" t="s">
        <v>5</v>
      </c>
      <c r="Z173">
        <f>A173+1</f>
        <v>4</v>
      </c>
    </row>
    <row r="174" spans="1:26" ht="15" x14ac:dyDescent="0.25">
      <c r="A174" t="s">
        <v>5</v>
      </c>
      <c r="Z174">
        <f>A174*2</f>
        <v>6</v>
      </c>
    </row>
    <row r="175" spans="1:26" ht="15" x14ac:dyDescent="0.25">
      <c r="A175" t="s">
        <v>5</v>
      </c>
      <c r="Z175">
        <f>-A175</f>
        <v>-3</v>
      </c>
    </row>
    <row r="176" spans="1:26" ht="15" x14ac:dyDescent="0.25">
      <c r="A176" t="s">
        <v>5</v>
      </c>
      <c r="Z176" t="b">
        <f>A176=3</f>
        <v>0</v>
      </c>
    </row>
    <row r="177" spans="1:26" ht="15" x14ac:dyDescent="0.25">
      <c r="A177" t="s">
        <v>5</v>
      </c>
      <c r="Z177" t="e">
        <f>IF(A177,1,2)</f>
        <v>#VALUE!</v>
      </c>
    </row>
    <row r="178" spans="1:26" ht="15" x14ac:dyDescent="0.25">
      <c r="A178" t="s">
        <v>5</v>
      </c>
      <c r="Z178">
        <f>ROUND(A178,0)</f>
        <v>3</v>
      </c>
    </row>
    <row r="179" spans="1:26" ht="15" x14ac:dyDescent="0.25">
      <c r="A179" t="s">
        <v>5</v>
      </c>
      <c r="Z179">
        <f>SUM(A179)</f>
        <v>0</v>
      </c>
    </row>
    <row r="180" spans="1:26" ht="15" x14ac:dyDescent="0.25">
      <c r="A180" t="s">
        <v>5</v>
      </c>
      <c r="Z180" t="str">
        <f>+A180</f>
        <v xml:space="preserve"> 3 </v>
      </c>
    </row>
    <row r="181" spans="1:26" ht="15" x14ac:dyDescent="0.25">
      <c r="A181" t="s">
        <v>5</v>
      </c>
      <c r="Z181">
        <f>--A181</f>
        <v>3</v>
      </c>
    </row>
    <row r="182" spans="1:26" ht="15" x14ac:dyDescent="0.25">
      <c r="A182" t="s">
        <v>6</v>
      </c>
      <c r="Z182">
        <f>A182+1</f>
        <v>4</v>
      </c>
    </row>
    <row r="183" spans="1:26" ht="15" x14ac:dyDescent="0.25">
      <c r="A183" t="s">
        <v>6</v>
      </c>
      <c r="Z183">
        <f>A183*2</f>
        <v>6</v>
      </c>
    </row>
    <row r="184" spans="1:26" ht="15" x14ac:dyDescent="0.25">
      <c r="A184" t="s">
        <v>6</v>
      </c>
      <c r="Z184">
        <f>-A184</f>
        <v>-3</v>
      </c>
    </row>
    <row r="185" spans="1:26" ht="15" x14ac:dyDescent="0.25">
      <c r="A185" t="s">
        <v>6</v>
      </c>
      <c r="Z185" t="b">
        <f>A185=3</f>
        <v>0</v>
      </c>
    </row>
    <row r="186" spans="1:26" ht="15" x14ac:dyDescent="0.25">
      <c r="A186" t="s">
        <v>6</v>
      </c>
      <c r="Z186" t="e">
        <f>IF(A186,1,2)</f>
        <v>#VALUE!</v>
      </c>
    </row>
    <row r="187" spans="1:26" ht="15" x14ac:dyDescent="0.25">
      <c r="A187" t="s">
        <v>6</v>
      </c>
      <c r="Z187">
        <f>ROUND(A187,0)</f>
        <v>3</v>
      </c>
    </row>
    <row r="188" spans="1:26" ht="15" x14ac:dyDescent="0.25">
      <c r="A188" t="s">
        <v>6</v>
      </c>
      <c r="Z188">
        <f>SUM(A188)</f>
        <v>0</v>
      </c>
    </row>
    <row r="189" spans="1:26" ht="15" x14ac:dyDescent="0.25">
      <c r="A189" t="s">
        <v>6</v>
      </c>
      <c r="Z189" t="str">
        <f>+A189</f>
        <v>3.</v>
      </c>
    </row>
    <row r="190" spans="1:26" ht="15" x14ac:dyDescent="0.25">
      <c r="A190" t="s">
        <v>6</v>
      </c>
      <c r="Z190">
        <f>--A190</f>
        <v>3</v>
      </c>
    </row>
    <row r="191" spans="1:26" ht="15" x14ac:dyDescent="0.25">
      <c r="A191" t="s">
        <v>7</v>
      </c>
      <c r="Z191">
        <f>A191+1</f>
        <v>1.5</v>
      </c>
    </row>
    <row r="192" spans="1:26" ht="15" x14ac:dyDescent="0.25">
      <c r="A192" t="s">
        <v>7</v>
      </c>
      <c r="Z192">
        <f>A192*2</f>
        <v>1</v>
      </c>
    </row>
    <row r="193" spans="1:26" ht="15" x14ac:dyDescent="0.25">
      <c r="A193" t="s">
        <v>7</v>
      </c>
      <c r="Z193">
        <f>-A193</f>
        <v>-0.5</v>
      </c>
    </row>
    <row r="194" spans="1:26" ht="15" x14ac:dyDescent="0.25">
      <c r="A194" t="s">
        <v>7</v>
      </c>
      <c r="Z194" t="b">
        <f>A194=3</f>
        <v>0</v>
      </c>
    </row>
    <row r="195" spans="1:26" ht="15" x14ac:dyDescent="0.25">
      <c r="A195" t="s">
        <v>7</v>
      </c>
      <c r="Z195" t="e">
        <f>IF(A195,1,2)</f>
        <v>#VALUE!</v>
      </c>
    </row>
    <row r="196" spans="1:26" ht="15" x14ac:dyDescent="0.25">
      <c r="A196" t="s">
        <v>7</v>
      </c>
      <c r="Z196">
        <f>ROUND(A196,0)</f>
        <v>1</v>
      </c>
    </row>
    <row r="197" spans="1:26" ht="15" x14ac:dyDescent="0.25">
      <c r="A197" t="s">
        <v>7</v>
      </c>
      <c r="Z197">
        <f>SUM(A197)</f>
        <v>0</v>
      </c>
    </row>
    <row r="198" spans="1:26" ht="15" x14ac:dyDescent="0.25">
      <c r="A198" t="s">
        <v>7</v>
      </c>
      <c r="Z198" t="str">
        <f>+A198</f>
        <v>.5</v>
      </c>
    </row>
    <row r="199" spans="1:26" ht="15" x14ac:dyDescent="0.25">
      <c r="A199" t="s">
        <v>7</v>
      </c>
      <c r="Z199">
        <f>--A199</f>
        <v>0.5</v>
      </c>
    </row>
    <row r="200" spans="1:26" ht="15" x14ac:dyDescent="0.25">
      <c r="A200" t="s">
        <v>8</v>
      </c>
      <c r="Z200">
        <f>A200+1</f>
        <v>-4</v>
      </c>
    </row>
    <row r="201" spans="1:26" ht="15" x14ac:dyDescent="0.25">
      <c r="A201" t="s">
        <v>8</v>
      </c>
      <c r="Z201">
        <f>A201*2</f>
        <v>-10</v>
      </c>
    </row>
    <row r="202" spans="1:26" ht="15" x14ac:dyDescent="0.25">
      <c r="A202" t="s">
        <v>8</v>
      </c>
      <c r="Z202">
        <f>-A202</f>
        <v>5</v>
      </c>
    </row>
    <row r="203" spans="1:26" ht="15" x14ac:dyDescent="0.25">
      <c r="A203" t="s">
        <v>8</v>
      </c>
      <c r="Z203" t="b">
        <f>A203=3</f>
        <v>0</v>
      </c>
    </row>
    <row r="204" spans="1:26" ht="15" x14ac:dyDescent="0.25">
      <c r="A204" t="s">
        <v>8</v>
      </c>
      <c r="Z204" t="e">
        <f>IF(A204,1,2)</f>
        <v>#VALUE!</v>
      </c>
    </row>
    <row r="205" spans="1:26" ht="15" x14ac:dyDescent="0.25">
      <c r="A205" t="s">
        <v>8</v>
      </c>
      <c r="Z205">
        <f>ROUND(A205,0)</f>
        <v>-5</v>
      </c>
    </row>
    <row r="206" spans="1:26" ht="15" x14ac:dyDescent="0.25">
      <c r="A206" t="s">
        <v>8</v>
      </c>
      <c r="Z206">
        <f>SUM(A206)</f>
        <v>0</v>
      </c>
    </row>
    <row r="207" spans="1:26" ht="15" x14ac:dyDescent="0.25">
      <c r="A207" t="s">
        <v>8</v>
      </c>
      <c r="Z207" t="str">
        <f>+A207</f>
        <v>(5)</v>
      </c>
    </row>
    <row r="208" spans="1:26" ht="15" x14ac:dyDescent="0.25">
      <c r="A208" t="s">
        <v>8</v>
      </c>
      <c r="Z208">
        <f>--A208</f>
        <v>-5</v>
      </c>
    </row>
    <row r="209" spans="1:26" ht="15" x14ac:dyDescent="0.25">
      <c r="A209" t="s">
        <v>9</v>
      </c>
      <c r="Z209">
        <f>A209+1</f>
        <v>4</v>
      </c>
    </row>
    <row r="210" spans="1:26" ht="15" x14ac:dyDescent="0.25">
      <c r="A210" t="s">
        <v>9</v>
      </c>
      <c r="Z210">
        <f>A210*2</f>
        <v>6</v>
      </c>
    </row>
    <row r="211" spans="1:26" ht="15" x14ac:dyDescent="0.25">
      <c r="A211" t="s">
        <v>9</v>
      </c>
      <c r="Z211">
        <f>-A211</f>
        <v>-3</v>
      </c>
    </row>
    <row r="212" spans="1:26" ht="15" x14ac:dyDescent="0.25">
      <c r="A212" t="s">
        <v>9</v>
      </c>
      <c r="Z212" t="b">
        <f>A212=3</f>
        <v>0</v>
      </c>
    </row>
    <row r="213" spans="1:26" ht="15" x14ac:dyDescent="0.25">
      <c r="A213" t="s">
        <v>9</v>
      </c>
      <c r="Z213" t="e">
        <f>IF(A213,1,2)</f>
        <v>#VALUE!</v>
      </c>
    </row>
    <row r="214" spans="1:26" ht="15" x14ac:dyDescent="0.25">
      <c r="A214" t="s">
        <v>9</v>
      </c>
      <c r="Z214">
        <f>ROUND(A214,0)</f>
        <v>3</v>
      </c>
    </row>
    <row r="215" spans="1:26" ht="15" x14ac:dyDescent="0.25">
      <c r="A215" t="s">
        <v>9</v>
      </c>
      <c r="Z215">
        <f>SUM(A215)</f>
        <v>0</v>
      </c>
    </row>
    <row r="216" spans="1:26" ht="15" x14ac:dyDescent="0.25">
      <c r="A216" t="s">
        <v>9</v>
      </c>
      <c r="Z216" t="str">
        <f>+A216</f>
        <v>+3</v>
      </c>
    </row>
    <row r="217" spans="1:26" ht="15" x14ac:dyDescent="0.25">
      <c r="A217" t="s">
        <v>9</v>
      </c>
      <c r="Z217">
        <f>--A217</f>
        <v>3</v>
      </c>
    </row>
    <row r="218" spans="1:26" ht="15" x14ac:dyDescent="0.25">
      <c r="A218" t="s">
        <v>10</v>
      </c>
      <c r="Z218">
        <f>A218+1</f>
        <v>1.5</v>
      </c>
    </row>
    <row r="219" spans="1:26" ht="15" x14ac:dyDescent="0.25">
      <c r="A219" t="s">
        <v>10</v>
      </c>
      <c r="Z219">
        <f>A219*2</f>
        <v>1</v>
      </c>
    </row>
    <row r="220" spans="1:26" ht="15" x14ac:dyDescent="0.25">
      <c r="A220" t="s">
        <v>10</v>
      </c>
      <c r="Z220">
        <f>-A220</f>
        <v>-0.5</v>
      </c>
    </row>
    <row r="221" spans="1:26" ht="15" x14ac:dyDescent="0.25">
      <c r="A221" t="s">
        <v>10</v>
      </c>
      <c r="Z221" t="b">
        <f>A221=3</f>
        <v>0</v>
      </c>
    </row>
    <row r="222" spans="1:26" ht="15" x14ac:dyDescent="0.25">
      <c r="A222" t="s">
        <v>10</v>
      </c>
      <c r="Z222" t="e">
        <f>IF(A222,1,2)</f>
        <v>#VALUE!</v>
      </c>
    </row>
    <row r="223" spans="1:26" ht="15" x14ac:dyDescent="0.25">
      <c r="A223" t="s">
        <v>10</v>
      </c>
      <c r="Z223">
        <f>ROUND(A223,0)</f>
        <v>1</v>
      </c>
    </row>
    <row r="224" spans="1:26" ht="15" x14ac:dyDescent="0.25">
      <c r="A224" t="s">
        <v>10</v>
      </c>
      <c r="Z224">
        <f>SUM(A224)</f>
        <v>0</v>
      </c>
    </row>
    <row r="225" spans="1:26" ht="15" x14ac:dyDescent="0.25">
      <c r="A225" t="s">
        <v>10</v>
      </c>
      <c r="Z225" t="str">
        <f>+A225</f>
        <v>50%</v>
      </c>
    </row>
    <row r="226" spans="1:26" ht="15" x14ac:dyDescent="0.25">
      <c r="A226" t="s">
        <v>10</v>
      </c>
      <c r="Z226">
        <f>--A226</f>
        <v>0.5</v>
      </c>
    </row>
    <row r="227" spans="1:26" ht="15" x14ac:dyDescent="0.25">
      <c r="A227" t="s">
        <v>11</v>
      </c>
      <c r="Z227">
        <f>A227+1</f>
        <v>1.5</v>
      </c>
    </row>
    <row r="228" spans="1:26" ht="15" x14ac:dyDescent="0.25">
      <c r="A228" t="s">
        <v>11</v>
      </c>
      <c r="Z228">
        <f>A228*2</f>
        <v>1</v>
      </c>
    </row>
    <row r="229" spans="1:26" ht="15" x14ac:dyDescent="0.25">
      <c r="A229" t="s">
        <v>11</v>
      </c>
      <c r="Z229">
        <f>-A229</f>
        <v>-0.5</v>
      </c>
    </row>
    <row r="230" spans="1:26" ht="15" x14ac:dyDescent="0.25">
      <c r="A230" t="s">
        <v>11</v>
      </c>
      <c r="Z230" t="b">
        <f>A230=3</f>
        <v>0</v>
      </c>
    </row>
    <row r="231" spans="1:26" ht="15" x14ac:dyDescent="0.25">
      <c r="A231" t="s">
        <v>11</v>
      </c>
      <c r="Z231" t="e">
        <f>IF(A231,1,2)</f>
        <v>#VALUE!</v>
      </c>
    </row>
    <row r="232" spans="1:26" ht="15" x14ac:dyDescent="0.25">
      <c r="A232" t="s">
        <v>11</v>
      </c>
      <c r="Z232">
        <f>ROUND(A232,0)</f>
        <v>1</v>
      </c>
    </row>
    <row r="233" spans="1:26" ht="15" x14ac:dyDescent="0.25">
      <c r="A233" t="s">
        <v>11</v>
      </c>
      <c r="Z233">
        <f>SUM(A233)</f>
        <v>0</v>
      </c>
    </row>
    <row r="234" spans="1:26" ht="15" x14ac:dyDescent="0.25">
      <c r="A234" t="s">
        <v>11</v>
      </c>
      <c r="Z234" t="str">
        <f>+A234</f>
        <v>12:00</v>
      </c>
    </row>
    <row r="235" spans="1:26" ht="15" x14ac:dyDescent="0.25">
      <c r="A235" t="s">
        <v>11</v>
      </c>
      <c r="Z235">
        <f>--A235</f>
        <v>0.5</v>
      </c>
    </row>
    <row r="236" spans="1:26" ht="15" x14ac:dyDescent="0.25">
      <c r="A236" t="s">
        <v>12</v>
      </c>
      <c r="Z236">
        <f>A236+1</f>
        <v>1001.5</v>
      </c>
    </row>
    <row r="237" spans="1:26" ht="15" x14ac:dyDescent="0.25">
      <c r="A237" t="s">
        <v>12</v>
      </c>
      <c r="Z237">
        <f>A237*2</f>
        <v>2001</v>
      </c>
    </row>
    <row r="238" spans="1:26" ht="15" x14ac:dyDescent="0.25">
      <c r="A238" t="s">
        <v>12</v>
      </c>
      <c r="Z238">
        <f>-A238</f>
        <v>-1000.5</v>
      </c>
    </row>
    <row r="239" spans="1:26" ht="15" x14ac:dyDescent="0.25">
      <c r="A239" t="s">
        <v>12</v>
      </c>
      <c r="Z239" t="b">
        <f>A239=3</f>
        <v>0</v>
      </c>
    </row>
    <row r="240" spans="1:26" ht="15" x14ac:dyDescent="0.25">
      <c r="A240" t="s">
        <v>12</v>
      </c>
      <c r="Z240" t="e">
        <f>IF(A240,1,2)</f>
        <v>#VALUE!</v>
      </c>
    </row>
    <row r="241" spans="1:26" ht="15" x14ac:dyDescent="0.25">
      <c r="A241" t="s">
        <v>12</v>
      </c>
      <c r="Z241">
        <f>ROUND(A241,0)</f>
        <v>1001</v>
      </c>
    </row>
    <row r="242" spans="1:26" ht="15" x14ac:dyDescent="0.25">
      <c r="A242" t="s">
        <v>12</v>
      </c>
      <c r="Z242">
        <f>SUM(A242)</f>
        <v>0</v>
      </c>
    </row>
    <row r="243" spans="1:26" ht="15" x14ac:dyDescent="0.25">
      <c r="A243" t="s">
        <v>12</v>
      </c>
      <c r="Z243" t="str">
        <f>+A243</f>
        <v>1,000.5</v>
      </c>
    </row>
    <row r="244" spans="1:26" ht="15" x14ac:dyDescent="0.25">
      <c r="A244" t="s">
        <v>12</v>
      </c>
      <c r="Z244">
        <f>--A244</f>
        <v>1000.5</v>
      </c>
    </row>
    <row r="245" spans="1:26" ht="15" x14ac:dyDescent="0.25">
      <c r="A245" t="s">
        <v>13</v>
      </c>
      <c r="Z245">
        <f>A245+1</f>
        <v>1001</v>
      </c>
    </row>
    <row r="246" spans="1:26" ht="15" x14ac:dyDescent="0.25">
      <c r="A246" t="s">
        <v>13</v>
      </c>
      <c r="Z246">
        <f>A246*2</f>
        <v>2000</v>
      </c>
    </row>
    <row r="247" spans="1:26" ht="15" x14ac:dyDescent="0.25">
      <c r="A247" t="s">
        <v>13</v>
      </c>
      <c r="Z247">
        <f>-A247</f>
        <v>-1000</v>
      </c>
    </row>
    <row r="248" spans="1:26" ht="15" x14ac:dyDescent="0.25">
      <c r="A248" t="s">
        <v>13</v>
      </c>
      <c r="Z248" t="b">
        <f>A248=3</f>
        <v>0</v>
      </c>
    </row>
    <row r="249" spans="1:26" ht="15" x14ac:dyDescent="0.25">
      <c r="A249" t="s">
        <v>13</v>
      </c>
      <c r="Z249" t="e">
        <f>IF(A249,1,2)</f>
        <v>#VALUE!</v>
      </c>
    </row>
    <row r="250" spans="1:26" ht="15" x14ac:dyDescent="0.25">
      <c r="A250" t="s">
        <v>13</v>
      </c>
      <c r="Z250">
        <f>ROUND(A250,0)</f>
        <v>1000</v>
      </c>
    </row>
    <row r="251" spans="1:26" ht="15" x14ac:dyDescent="0.25">
      <c r="A251" t="s">
        <v>13</v>
      </c>
      <c r="Z251">
        <f>SUM(A251)</f>
        <v>0</v>
      </c>
    </row>
    <row r="252" spans="1:26" ht="15" x14ac:dyDescent="0.25">
      <c r="A252" t="s">
        <v>13</v>
      </c>
      <c r="Z252" t="str">
        <f>+A252</f>
        <v>1E3</v>
      </c>
    </row>
    <row r="253" spans="1:26" ht="15" x14ac:dyDescent="0.25">
      <c r="A253" t="s">
        <v>13</v>
      </c>
      <c r="Z253">
        <f>--A253</f>
        <v>1000</v>
      </c>
    </row>
    <row r="254" spans="1:26" ht="15" x14ac:dyDescent="0.25">
      <c r="A254" t="s">
        <v>14</v>
      </c>
      <c r="Z254">
        <f>A254+1</f>
        <v>1</v>
      </c>
    </row>
    <row r="255" spans="1:26" ht="15" x14ac:dyDescent="0.25">
      <c r="A255" t="s">
        <v>14</v>
      </c>
      <c r="Z255">
        <f>A255*2</f>
        <v>0</v>
      </c>
    </row>
    <row r="256" spans="1:26" ht="15" x14ac:dyDescent="0.25">
      <c r="A256" t="s">
        <v>14</v>
      </c>
      <c r="Z256">
        <f>-A256</f>
        <v>0</v>
      </c>
    </row>
    <row r="257" spans="1:26" ht="15" x14ac:dyDescent="0.25">
      <c r="A257" t="s">
        <v>14</v>
      </c>
      <c r="Z257" t="b">
        <f>A257=3</f>
        <v>0</v>
      </c>
    </row>
    <row r="258" spans="1:26" ht="15" x14ac:dyDescent="0.25">
      <c r="A258" t="s">
        <v>14</v>
      </c>
      <c r="Z258" t="e">
        <f>IF(A258,1,2)</f>
        <v>#VALUE!</v>
      </c>
    </row>
    <row r="259" spans="1:26" ht="15" x14ac:dyDescent="0.25">
      <c r="A259" t="s">
        <v>14</v>
      </c>
      <c r="Z259">
        <f>ROUND(A259,0)</f>
        <v>0</v>
      </c>
    </row>
    <row r="260" spans="1:26" ht="15" x14ac:dyDescent="0.25">
      <c r="A260" t="s">
        <v>14</v>
      </c>
      <c r="Z260">
        <f>SUM(A260)</f>
        <v>0</v>
      </c>
    </row>
    <row r="261" spans="1:26" ht="15" x14ac:dyDescent="0.25">
      <c r="A261" t="s">
        <v>14</v>
      </c>
      <c r="Z261" t="str">
        <f>+A261</f>
        <v>-0</v>
      </c>
    </row>
    <row r="262" spans="1:26" ht="15" x14ac:dyDescent="0.25">
      <c r="A262" t="s">
        <v>14</v>
      </c>
      <c r="Z262">
        <f>--A262</f>
        <v>0</v>
      </c>
    </row>
    <row r="263" spans="1:26" ht="15" x14ac:dyDescent="0.25">
      <c r="A263" t="s">
        <v>15</v>
      </c>
      <c r="Z263" t="e">
        <f>A263+1</f>
        <v>#VALUE!</v>
      </c>
    </row>
    <row r="264" spans="1:26" ht="15" x14ac:dyDescent="0.25">
      <c r="A264" t="s">
        <v>15</v>
      </c>
      <c r="Z264" t="e">
        <f>A264*2</f>
        <v>#VALUE!</v>
      </c>
    </row>
    <row r="265" spans="1:26" ht="15" x14ac:dyDescent="0.25">
      <c r="A265" t="s">
        <v>15</v>
      </c>
      <c r="Z265" t="e">
        <f>-A265</f>
        <v>#VALUE!</v>
      </c>
    </row>
    <row r="266" spans="1:26" ht="15" x14ac:dyDescent="0.25">
      <c r="A266" t="s">
        <v>15</v>
      </c>
      <c r="Z266" t="b">
        <f>A266=3</f>
        <v>0</v>
      </c>
    </row>
    <row r="267" spans="1:26" ht="15" x14ac:dyDescent="0.25">
      <c r="A267" t="s">
        <v>15</v>
      </c>
      <c r="Z267" t="e">
        <f>IF(A267,1,2)</f>
        <v>#VALUE!</v>
      </c>
    </row>
    <row r="268" spans="1:26" ht="15" x14ac:dyDescent="0.25">
      <c r="A268" t="s">
        <v>15</v>
      </c>
      <c r="Z268" t="e">
        <f>ROUND(A268,0)</f>
        <v>#VALUE!</v>
      </c>
    </row>
    <row r="269" spans="1:26" ht="15" x14ac:dyDescent="0.25">
      <c r="A269" t="s">
        <v>15</v>
      </c>
      <c r="Z269">
        <f>SUM(A269)</f>
        <v>0</v>
      </c>
    </row>
    <row r="270" spans="1:26" ht="15" x14ac:dyDescent="0.25">
      <c r="A270" t="s">
        <v>15</v>
      </c>
      <c r="Z270" t="str">
        <f>+A270</f>
        <v>0x10</v>
      </c>
    </row>
    <row r="271" spans="1:26" ht="15" x14ac:dyDescent="0.25">
      <c r="A271" t="s">
        <v>15</v>
      </c>
      <c r="Z271" t="e">
        <f>--A271</f>
        <v>#VALUE!</v>
      </c>
    </row>
    <row r="272" spans="1:26" ht="15" x14ac:dyDescent="0.25">
      <c r="A272">
        <v>0.05</v>
      </c>
      <c r="B272">
        <v>12</v>
      </c>
      <c r="C272">
        <v>1000</v>
      </c>
      <c r="D272">
        <v>0</v>
      </c>
      <c r="E272">
        <v>1.5</v>
      </c>
      <c r="Z272">
        <f t="shared" ref="Z272:Z277" si="1">PMT(A272,B272,C272,D272,E272)</f>
        <v>-107.45277144839562</v>
      </c>
    </row>
    <row r="273" spans="1:26" ht="15" x14ac:dyDescent="0.25">
      <c r="A273">
        <v>0.05</v>
      </c>
      <c r="B273">
        <v>12</v>
      </c>
      <c r="C273">
        <v>1000</v>
      </c>
      <c r="D273">
        <v>0</v>
      </c>
      <c r="E273">
        <v>2.5</v>
      </c>
      <c r="Z273">
        <f t="shared" si="1"/>
        <v>-107.45277144839562</v>
      </c>
    </row>
    <row r="274" spans="1:26" ht="15" x14ac:dyDescent="0.25">
      <c r="A274">
        <v>0.05</v>
      </c>
      <c r="B274">
        <v>12</v>
      </c>
      <c r="C274">
        <v>1000</v>
      </c>
      <c r="D274">
        <v>0</v>
      </c>
      <c r="E274">
        <v>-0.5</v>
      </c>
      <c r="Z274">
        <f t="shared" si="1"/>
        <v>-107.45277144839562</v>
      </c>
    </row>
    <row r="275" spans="1:26" ht="15" x14ac:dyDescent="0.25">
      <c r="A275">
        <v>0.05</v>
      </c>
      <c r="B275">
        <v>12</v>
      </c>
      <c r="C275">
        <v>1000</v>
      </c>
      <c r="D275">
        <v>0</v>
      </c>
      <c r="E275" t="b">
        <v>1</v>
      </c>
      <c r="Z275">
        <f t="shared" si="1"/>
        <v>-107.45277144839562</v>
      </c>
    </row>
    <row r="276" spans="1:26" ht="15" x14ac:dyDescent="0.25">
      <c r="A276">
        <v>0.05</v>
      </c>
      <c r="B276">
        <v>12</v>
      </c>
      <c r="C276">
        <v>1000</v>
      </c>
      <c r="D276">
        <v>0</v>
      </c>
      <c r="E276" t="b">
        <v>0</v>
      </c>
      <c r="Z276">
        <f t="shared" si="1"/>
        <v>-112.82541002081541</v>
      </c>
    </row>
    <row r="277" spans="1:26" ht="15" x14ac:dyDescent="0.25">
      <c r="A277">
        <v>0.05</v>
      </c>
      <c r="B277">
        <v>12</v>
      </c>
      <c r="C277">
        <v>1000</v>
      </c>
      <c r="D277">
        <v>0</v>
      </c>
      <c r="E277" t="s">
        <v>16</v>
      </c>
      <c r="Z277">
        <f t="shared" si="1"/>
        <v>-107.45277144839562</v>
      </c>
    </row>
    <row r="278" spans="1:26" ht="15" x14ac:dyDescent="0.25">
      <c r="A278">
        <v>2.5</v>
      </c>
      <c r="B278">
        <v>1.5</v>
      </c>
      <c r="Z278">
        <f t="shared" ref="Z278:Z295" si="2">ROUND(A278,B278)</f>
        <v>2.5</v>
      </c>
    </row>
    <row r="279" spans="1:26" ht="15" x14ac:dyDescent="0.25">
      <c r="A279">
        <v>2.5</v>
      </c>
      <c r="B279">
        <v>-0.5</v>
      </c>
      <c r="Z279">
        <f t="shared" si="2"/>
        <v>3</v>
      </c>
    </row>
    <row r="280" spans="1:26" ht="15" x14ac:dyDescent="0.25">
      <c r="A280">
        <v>2.5</v>
      </c>
      <c r="B280">
        <v>2.9999999999999996</v>
      </c>
      <c r="Z280">
        <f t="shared" si="2"/>
        <v>2.5</v>
      </c>
    </row>
    <row r="281" spans="1:26" ht="15" x14ac:dyDescent="0.25">
      <c r="A281">
        <v>2.5</v>
      </c>
      <c r="B281">
        <v>-1.5</v>
      </c>
      <c r="Z281">
        <f t="shared" si="2"/>
        <v>0</v>
      </c>
    </row>
    <row r="282" spans="1:26" ht="15" x14ac:dyDescent="0.25">
      <c r="A282">
        <v>2.5</v>
      </c>
      <c r="B282">
        <v>-15.5</v>
      </c>
      <c r="Z282">
        <f t="shared" si="2"/>
        <v>0</v>
      </c>
    </row>
    <row r="283" spans="1:26" ht="15" x14ac:dyDescent="0.25">
      <c r="A283">
        <v>2.5</v>
      </c>
      <c r="B283" t="b">
        <v>1</v>
      </c>
      <c r="Z283">
        <f t="shared" si="2"/>
        <v>2.5</v>
      </c>
    </row>
    <row r="284" spans="1:26" ht="15" x14ac:dyDescent="0.25">
      <c r="A284">
        <v>1234.5678</v>
      </c>
      <c r="B284">
        <v>1.5</v>
      </c>
      <c r="Z284">
        <f t="shared" si="2"/>
        <v>1234.5999999999999</v>
      </c>
    </row>
    <row r="285" spans="1:26" ht="15" x14ac:dyDescent="0.25">
      <c r="A285">
        <v>1234.5678</v>
      </c>
      <c r="B285">
        <v>-0.5</v>
      </c>
      <c r="Z285">
        <f t="shared" si="2"/>
        <v>1235</v>
      </c>
    </row>
    <row r="286" spans="1:26" ht="15" x14ac:dyDescent="0.25">
      <c r="A286">
        <v>1234.5678</v>
      </c>
      <c r="B286">
        <v>2.9999999999999996</v>
      </c>
      <c r="Z286">
        <f t="shared" si="2"/>
        <v>1234.568</v>
      </c>
    </row>
    <row r="287" spans="1:26" ht="15" x14ac:dyDescent="0.25">
      <c r="A287">
        <v>1234.5678</v>
      </c>
      <c r="B287">
        <v>-1.5</v>
      </c>
      <c r="Z287">
        <f t="shared" si="2"/>
        <v>1230</v>
      </c>
    </row>
    <row r="288" spans="1:26" ht="15" x14ac:dyDescent="0.25">
      <c r="A288">
        <v>1234.5678</v>
      </c>
      <c r="B288">
        <v>-15.5</v>
      </c>
      <c r="Z288">
        <f t="shared" si="2"/>
        <v>0</v>
      </c>
    </row>
    <row r="289" spans="1:26" ht="15" x14ac:dyDescent="0.25">
      <c r="A289">
        <v>1234.5678</v>
      </c>
      <c r="B289" t="b">
        <v>1</v>
      </c>
      <c r="Z289">
        <f t="shared" si="2"/>
        <v>1234.5999999999999</v>
      </c>
    </row>
    <row r="290" spans="1:26" ht="15" x14ac:dyDescent="0.25">
      <c r="A290">
        <v>0.125</v>
      </c>
      <c r="B290">
        <v>1.5</v>
      </c>
      <c r="Z290">
        <f t="shared" si="2"/>
        <v>0.1</v>
      </c>
    </row>
    <row r="291" spans="1:26" ht="15" x14ac:dyDescent="0.25">
      <c r="A291">
        <v>0.125</v>
      </c>
      <c r="B291">
        <v>-0.5</v>
      </c>
      <c r="Z291">
        <f t="shared" si="2"/>
        <v>0</v>
      </c>
    </row>
    <row r="292" spans="1:26" ht="15" x14ac:dyDescent="0.25">
      <c r="A292">
        <v>0.125</v>
      </c>
      <c r="B292">
        <v>2.9999999999999996</v>
      </c>
      <c r="Z292">
        <f t="shared" si="2"/>
        <v>0.125</v>
      </c>
    </row>
    <row r="293" spans="1:26" ht="15" x14ac:dyDescent="0.25">
      <c r="A293">
        <v>0.125</v>
      </c>
      <c r="B293">
        <v>-1.5</v>
      </c>
      <c r="Z293">
        <f t="shared" si="2"/>
        <v>0</v>
      </c>
    </row>
    <row r="294" spans="1:26" ht="15" x14ac:dyDescent="0.25">
      <c r="A294">
        <v>0.125</v>
      </c>
      <c r="B294">
        <v>-15.5</v>
      </c>
      <c r="Z294">
        <f t="shared" si="2"/>
        <v>0</v>
      </c>
    </row>
    <row r="295" spans="1:26" ht="15" x14ac:dyDescent="0.25">
      <c r="A295">
        <v>0.125</v>
      </c>
      <c r="B295" t="b">
        <v>1</v>
      </c>
      <c r="Z295">
        <f t="shared" si="2"/>
        <v>0.1</v>
      </c>
    </row>
    <row r="296" spans="1:26" ht="15" x14ac:dyDescent="0.25">
      <c r="A296">
        <v>1.0000000000000002</v>
      </c>
      <c r="B296">
        <v>1</v>
      </c>
      <c r="C296" t="b">
        <v>1</v>
      </c>
      <c r="Z296">
        <f>IF(C296,A296-B296,0)</f>
        <v>2.2204460492503131E-16</v>
      </c>
    </row>
    <row r="297" spans="1:26" ht="15" x14ac:dyDescent="0.25">
      <c r="A297">
        <v>1.0000000000000009</v>
      </c>
      <c r="B297">
        <v>1</v>
      </c>
      <c r="C297" t="b">
        <v>1</v>
      </c>
      <c r="Z297">
        <f>IF(C297,A297-B297,0)</f>
        <v>8.8817841970012523E-16</v>
      </c>
    </row>
    <row r="298" spans="1:26" ht="15" x14ac:dyDescent="0.25">
      <c r="A298">
        <v>1.0000000000000016</v>
      </c>
      <c r="B298">
        <v>1</v>
      </c>
      <c r="C298" t="b">
        <v>1</v>
      </c>
      <c r="Z298">
        <f>IF(C298,A298-B298,0)</f>
        <v>1.5543122344752192E-15</v>
      </c>
    </row>
    <row r="299" spans="1:26" ht="15" x14ac:dyDescent="0.25">
      <c r="A299">
        <v>1.0000000000000018</v>
      </c>
      <c r="B299">
        <v>1</v>
      </c>
      <c r="C299" t="b">
        <v>1</v>
      </c>
      <c r="Z299">
        <f>IF(C299,A299-B299,0)</f>
        <v>1.7763568394002505E-15</v>
      </c>
    </row>
    <row r="300" spans="1:26" ht="15" x14ac:dyDescent="0.25">
      <c r="A300">
        <v>2.0000000000000018</v>
      </c>
      <c r="B300">
        <v>1.9999999999999996</v>
      </c>
      <c r="Z300">
        <f>A300-B300</f>
        <v>0</v>
      </c>
    </row>
    <row r="301" spans="1:26" ht="15" x14ac:dyDescent="0.25">
      <c r="A301">
        <v>2.0000000000000018</v>
      </c>
      <c r="B301">
        <v>1.9999999999999996</v>
      </c>
      <c r="Z301">
        <f>(A301-B301)*1</f>
        <v>2.2204460492503131E-15</v>
      </c>
    </row>
    <row r="302" spans="1:26" ht="15" x14ac:dyDescent="0.25">
      <c r="A302">
        <v>5500000000000000</v>
      </c>
      <c r="B302">
        <v>-15.5</v>
      </c>
      <c r="Z302">
        <f>ROUND(A302,B302)</f>
        <v>6000000000000000</v>
      </c>
    </row>
    <row r="303" spans="1:26" ht="15" x14ac:dyDescent="0.25">
      <c r="A303">
        <v>5500000000000000</v>
      </c>
      <c r="B303">
        <v>-16</v>
      </c>
      <c r="Z303">
        <f>ROUND(A303,B303)</f>
        <v>1E+16</v>
      </c>
    </row>
    <row r="304" spans="1:26" ht="15" x14ac:dyDescent="0.25">
      <c r="A304">
        <v>5500000000000000</v>
      </c>
      <c r="B304">
        <v>-17</v>
      </c>
      <c r="Z304">
        <f>ROUND(A304,B304)</f>
        <v>0</v>
      </c>
    </row>
    <row r="305" spans="1:26" ht="15" x14ac:dyDescent="0.25">
      <c r="A305">
        <v>0.05</v>
      </c>
      <c r="B305">
        <v>12</v>
      </c>
      <c r="C305">
        <v>1000</v>
      </c>
      <c r="D305">
        <v>0</v>
      </c>
      <c r="E305">
        <v>0.99999999999999989</v>
      </c>
      <c r="Z305">
        <f>PMT(A305,B305,C305,D305,E305)</f>
        <v>-107.45277144839562</v>
      </c>
    </row>
    <row r="306" spans="1:26" ht="15" x14ac:dyDescent="0.25">
      <c r="A306">
        <v>0.05</v>
      </c>
      <c r="B306">
        <v>12</v>
      </c>
      <c r="C306">
        <v>1000</v>
      </c>
      <c r="D306">
        <v>0</v>
      </c>
      <c r="E306">
        <v>-1.5</v>
      </c>
      <c r="Z306">
        <f>PMT(A306,B306,C306,D306,E306)</f>
        <v>-107.45277144839562</v>
      </c>
    </row>
    <row r="307" spans="1:26" ht="15" x14ac:dyDescent="0.25">
      <c r="A307" t="s">
        <v>0</v>
      </c>
      <c r="B307" t="s">
        <v>17</v>
      </c>
      <c r="Z307" t="b">
        <f>A307=B307</f>
        <v>1</v>
      </c>
    </row>
    <row r="308" spans="1:26" ht="15" x14ac:dyDescent="0.25">
      <c r="A308" t="s">
        <v>0</v>
      </c>
      <c r="B308" t="s">
        <v>17</v>
      </c>
      <c r="Z308" t="b">
        <f>A308&lt;B308</f>
        <v>0</v>
      </c>
    </row>
    <row r="309" spans="1:26" ht="15" x14ac:dyDescent="0.25">
      <c r="A309" t="s">
        <v>3</v>
      </c>
      <c r="B309" t="s">
        <v>18</v>
      </c>
      <c r="Z309" t="b">
        <f>A309=B309</f>
        <v>0</v>
      </c>
    </row>
    <row r="310" spans="1:26" ht="15" x14ac:dyDescent="0.25">
      <c r="A310" t="s">
        <v>3</v>
      </c>
      <c r="B310" t="s">
        <v>18</v>
      </c>
      <c r="Z310" t="b">
        <f>A310&lt;B310</f>
        <v>1</v>
      </c>
    </row>
    <row r="311" spans="1:26" ht="15" x14ac:dyDescent="0.25">
      <c r="A311" t="s">
        <v>0</v>
      </c>
      <c r="B311" t="s">
        <v>19</v>
      </c>
      <c r="Z311" t="b">
        <f>A311=B311</f>
        <v>0</v>
      </c>
    </row>
    <row r="312" spans="1:26" ht="15" x14ac:dyDescent="0.25">
      <c r="A312" t="s">
        <v>0</v>
      </c>
      <c r="B312" t="s">
        <v>19</v>
      </c>
      <c r="Z312" t="b">
        <f>A312&lt;B312</f>
        <v>1</v>
      </c>
    </row>
    <row r="313" spans="1:26" ht="15" x14ac:dyDescent="0.25">
      <c r="A313" t="s">
        <v>20</v>
      </c>
      <c r="B313" t="s">
        <v>21</v>
      </c>
      <c r="Z313" t="b">
        <f>A313=B313</f>
        <v>0</v>
      </c>
    </row>
    <row r="314" spans="1:26" ht="15" x14ac:dyDescent="0.25">
      <c r="A314" t="s">
        <v>20</v>
      </c>
      <c r="B314" t="s">
        <v>21</v>
      </c>
      <c r="Z314" t="b">
        <f>A314&lt;B314</f>
        <v>1</v>
      </c>
    </row>
    <row r="315" spans="1:26" ht="15" x14ac:dyDescent="0.25">
      <c r="A315" t="s">
        <v>22</v>
      </c>
      <c r="B315" t="s">
        <v>0</v>
      </c>
      <c r="Z315" t="b">
        <f>A315=B315</f>
        <v>0</v>
      </c>
    </row>
    <row r="316" spans="1:26" ht="15" x14ac:dyDescent="0.25">
      <c r="A316" t="s">
        <v>22</v>
      </c>
      <c r="B316" t="s">
        <v>0</v>
      </c>
      <c r="Z316" t="b">
        <f>A316&lt;B316</f>
        <v>0</v>
      </c>
    </row>
    <row r="317" spans="1:26" ht="15" x14ac:dyDescent="0.25">
      <c r="A317" t="s">
        <v>23</v>
      </c>
      <c r="B317" t="s">
        <v>24</v>
      </c>
      <c r="Z317" t="b">
        <f>A317=B317</f>
        <v>0</v>
      </c>
    </row>
    <row r="318" spans="1:26" ht="15" x14ac:dyDescent="0.25">
      <c r="A318" t="s">
        <v>23</v>
      </c>
      <c r="B318" t="s">
        <v>24</v>
      </c>
      <c r="Z318" t="b">
        <f>A318&lt;B318</f>
        <v>1</v>
      </c>
    </row>
    <row r="319" spans="1:26" ht="15" x14ac:dyDescent="0.25">
      <c r="A319" t="s">
        <v>0</v>
      </c>
      <c r="Z319" t="b">
        <f>A319=B319</f>
        <v>0</v>
      </c>
    </row>
    <row r="320" spans="1:26" ht="15" x14ac:dyDescent="0.25">
      <c r="A320" t="s">
        <v>0</v>
      </c>
      <c r="Z320" t="b">
        <f>A320&gt;B320</f>
        <v>1</v>
      </c>
    </row>
    <row r="321" spans="1:26" ht="15" x14ac:dyDescent="0.25">
      <c r="A321" t="s">
        <v>1</v>
      </c>
      <c r="Y321" t="b">
        <f>ISTEXT(A321)</f>
        <v>1</v>
      </c>
      <c r="Z321" t="b">
        <f>A321=B321</f>
        <v>1</v>
      </c>
    </row>
    <row r="322" spans="1:26" ht="15" x14ac:dyDescent="0.25">
      <c r="A322" t="s">
        <v>1</v>
      </c>
      <c r="Y322" t="b">
        <f>ISTEXT(A322)</f>
        <v>1</v>
      </c>
      <c r="Z322" t="b">
        <f>A322&gt;B322</f>
        <v>0</v>
      </c>
    </row>
    <row r="323" spans="1:26" ht="15" x14ac:dyDescent="0.25">
      <c r="A323" t="s">
        <v>25</v>
      </c>
      <c r="Z323" t="e">
        <f>A323+1</f>
        <v>#VALUE!</v>
      </c>
    </row>
    <row r="324" spans="1:26" ht="15" x14ac:dyDescent="0.25">
      <c r="A324" t="s">
        <v>25</v>
      </c>
      <c r="Z324" t="e">
        <f>A324*2</f>
        <v>#VALUE!</v>
      </c>
    </row>
    <row r="325" spans="1:26" ht="15" x14ac:dyDescent="0.25">
      <c r="A325" t="s">
        <v>25</v>
      </c>
      <c r="Z325" t="e">
        <f>-A325</f>
        <v>#VALUE!</v>
      </c>
    </row>
    <row r="326" spans="1:26" ht="15" x14ac:dyDescent="0.25">
      <c r="A326" t="s">
        <v>25</v>
      </c>
      <c r="Z326" t="b">
        <f>A326=3</f>
        <v>0</v>
      </c>
    </row>
    <row r="327" spans="1:26" ht="15" x14ac:dyDescent="0.25">
      <c r="A327" t="s">
        <v>25</v>
      </c>
      <c r="Z327" t="e">
        <f>IF(A327,1,2)</f>
        <v>#VALUE!</v>
      </c>
    </row>
    <row r="328" spans="1:26" ht="15" x14ac:dyDescent="0.25">
      <c r="A328" t="s">
        <v>25</v>
      </c>
      <c r="Z328" t="e">
        <f>ROUND(A328,0)</f>
        <v>#VALUE!</v>
      </c>
    </row>
    <row r="329" spans="1:26" ht="15" x14ac:dyDescent="0.25">
      <c r="A329" t="s">
        <v>25</v>
      </c>
      <c r="Z329">
        <f>SUM(A329)</f>
        <v>0</v>
      </c>
    </row>
    <row r="330" spans="1:26" ht="15" x14ac:dyDescent="0.25">
      <c r="A330" t="s">
        <v>25</v>
      </c>
      <c r="Z330" t="str">
        <f>+A330</f>
        <v xml:space="preserve"> </v>
      </c>
    </row>
    <row r="331" spans="1:26" ht="15" x14ac:dyDescent="0.25">
      <c r="A331" t="s">
        <v>25</v>
      </c>
      <c r="Z331" t="e">
        <f>--A331</f>
        <v>#VALUE!</v>
      </c>
    </row>
    <row r="332" spans="1:26" ht="15" x14ac:dyDescent="0.25">
      <c r="A332" t="s">
        <v>26</v>
      </c>
      <c r="Z332">
        <f>A332+1</f>
        <v>1.59375</v>
      </c>
    </row>
    <row r="333" spans="1:26" ht="15" x14ac:dyDescent="0.25">
      <c r="A333" t="s">
        <v>26</v>
      </c>
      <c r="Z333">
        <f>A333*2</f>
        <v>1.1875</v>
      </c>
    </row>
    <row r="334" spans="1:26" ht="15" x14ac:dyDescent="0.25">
      <c r="A334" t="s">
        <v>26</v>
      </c>
      <c r="Z334">
        <f>-A334</f>
        <v>-0.59375</v>
      </c>
    </row>
    <row r="335" spans="1:26" ht="15" x14ac:dyDescent="0.25">
      <c r="A335" t="s">
        <v>26</v>
      </c>
      <c r="Z335" t="b">
        <f>A335=3</f>
        <v>0</v>
      </c>
    </row>
    <row r="336" spans="1:26" ht="15" x14ac:dyDescent="0.25">
      <c r="A336" t="s">
        <v>26</v>
      </c>
      <c r="Z336" t="e">
        <f>IF(A336,1,2)</f>
        <v>#VALUE!</v>
      </c>
    </row>
    <row r="337" spans="1:26" ht="15" x14ac:dyDescent="0.25">
      <c r="A337" t="s">
        <v>26</v>
      </c>
      <c r="Z337">
        <f>ROUND(A337,0)</f>
        <v>1</v>
      </c>
    </row>
    <row r="338" spans="1:26" ht="15" x14ac:dyDescent="0.25">
      <c r="A338" t="s">
        <v>26</v>
      </c>
      <c r="Z338">
        <f>SUM(A338)</f>
        <v>0</v>
      </c>
    </row>
    <row r="339" spans="1:26" ht="15" x14ac:dyDescent="0.25">
      <c r="A339" t="s">
        <v>26</v>
      </c>
      <c r="Z339" t="str">
        <f>+A339</f>
        <v>2:15 PM</v>
      </c>
    </row>
    <row r="340" spans="1:26" ht="15" x14ac:dyDescent="0.25">
      <c r="A340" t="s">
        <v>26</v>
      </c>
      <c r="Z340">
        <f>--A340</f>
        <v>0.59375</v>
      </c>
    </row>
    <row r="341" spans="1:26" ht="15" x14ac:dyDescent="0.25">
      <c r="A341">
        <v>1</v>
      </c>
      <c r="B341">
        <v>2</v>
      </c>
      <c r="C341">
        <v>1.5</v>
      </c>
      <c r="Z341" t="b">
        <f>(A341&lt;B341)&gt;C341</f>
        <v>1</v>
      </c>
    </row>
    <row r="342" spans="1:26" ht="15" x14ac:dyDescent="0.25">
      <c r="Z342" t="b">
        <f>(1&lt;2)&gt;1.5</f>
        <v>1</v>
      </c>
    </row>
    <row r="343" spans="1:26" ht="15" x14ac:dyDescent="0.25">
      <c r="A343">
        <v>-32</v>
      </c>
      <c r="B343">
        <v>-0.8</v>
      </c>
      <c r="Z343" t="e">
        <f t="shared" ref="Z343:Z374" si="3">A343^B343</f>
        <v>#NUM!</v>
      </c>
    </row>
    <row r="344" spans="1:26" ht="15" x14ac:dyDescent="0.25">
      <c r="A344">
        <v>1.1000000000000001</v>
      </c>
      <c r="B344">
        <v>-12</v>
      </c>
      <c r="Z344">
        <f t="shared" si="3"/>
        <v>0.31863081771035656</v>
      </c>
    </row>
    <row r="345" spans="1:26" ht="15" x14ac:dyDescent="0.25">
      <c r="A345">
        <v>1.0049999999999999</v>
      </c>
      <c r="B345">
        <v>-12</v>
      </c>
      <c r="Z345">
        <f t="shared" si="3"/>
        <v>0.94190533966591972</v>
      </c>
    </row>
    <row r="346" spans="1:26" ht="15" x14ac:dyDescent="0.25">
      <c r="A346">
        <v>-1.1000000000000001</v>
      </c>
      <c r="B346">
        <v>-12</v>
      </c>
      <c r="Z346">
        <f t="shared" si="3"/>
        <v>0.31863081771035656</v>
      </c>
    </row>
    <row r="347" spans="1:26" ht="15" x14ac:dyDescent="0.25">
      <c r="A347">
        <v>1.0000001000000001</v>
      </c>
      <c r="B347">
        <v>-13</v>
      </c>
      <c r="Z347">
        <f t="shared" si="3"/>
        <v>0.9999987000009094</v>
      </c>
    </row>
    <row r="348" spans="1:26" ht="15" x14ac:dyDescent="0.25">
      <c r="A348">
        <v>1.0002842492409041</v>
      </c>
      <c r="B348">
        <v>-360</v>
      </c>
      <c r="Z348">
        <f t="shared" si="3"/>
        <v>0.90274497433002698</v>
      </c>
    </row>
    <row r="349" spans="1:26" ht="15" x14ac:dyDescent="0.25">
      <c r="A349">
        <v>1.0002842492409041</v>
      </c>
      <c r="B349">
        <v>-5</v>
      </c>
      <c r="Z349">
        <f t="shared" si="3"/>
        <v>0.9985799649565672</v>
      </c>
    </row>
    <row r="350" spans="1:26" ht="15" x14ac:dyDescent="0.25">
      <c r="A350">
        <v>1.0049999999999999</v>
      </c>
      <c r="B350">
        <v>11</v>
      </c>
      <c r="Z350">
        <f t="shared" si="3"/>
        <v>1.056395832700993</v>
      </c>
    </row>
    <row r="351" spans="1:26" ht="15" x14ac:dyDescent="0.25">
      <c r="A351">
        <v>1.1000000000000001</v>
      </c>
      <c r="B351">
        <v>12</v>
      </c>
      <c r="Z351">
        <f t="shared" si="3"/>
        <v>3.1384283767210026</v>
      </c>
    </row>
    <row r="352" spans="1:26" ht="15" x14ac:dyDescent="0.25">
      <c r="A352">
        <v>1.1000000000000001</v>
      </c>
      <c r="B352">
        <v>13</v>
      </c>
      <c r="Z352">
        <f t="shared" si="3"/>
        <v>3.4522712143931029</v>
      </c>
    </row>
    <row r="353" spans="1:26" ht="15" x14ac:dyDescent="0.25">
      <c r="A353">
        <v>1.0002842492409041</v>
      </c>
      <c r="B353">
        <v>23</v>
      </c>
      <c r="Z353">
        <f t="shared" si="3"/>
        <v>1.006558215073261</v>
      </c>
    </row>
    <row r="354" spans="1:26" ht="15" x14ac:dyDescent="0.25">
      <c r="A354">
        <v>1.0002842492409041</v>
      </c>
      <c r="B354">
        <v>24</v>
      </c>
      <c r="Z354">
        <f t="shared" si="3"/>
        <v>1.0068443284818216</v>
      </c>
    </row>
    <row r="355" spans="1:26" ht="15" x14ac:dyDescent="0.25">
      <c r="A355">
        <v>1.0002842492409041</v>
      </c>
      <c r="B355">
        <v>25</v>
      </c>
      <c r="Z355">
        <f t="shared" si="3"/>
        <v>1.0071305232179011</v>
      </c>
    </row>
    <row r="356" spans="1:26" ht="15" x14ac:dyDescent="0.25">
      <c r="A356">
        <v>1.0002842492409041</v>
      </c>
      <c r="B356">
        <v>31</v>
      </c>
      <c r="Z356">
        <f t="shared" si="3"/>
        <v>1.0088494008073099</v>
      </c>
    </row>
    <row r="357" spans="1:26" ht="15" x14ac:dyDescent="0.25">
      <c r="A357">
        <v>1.0002842492409041</v>
      </c>
      <c r="B357">
        <v>48</v>
      </c>
      <c r="Z357">
        <f t="shared" si="3"/>
        <v>1.0137355017960101</v>
      </c>
    </row>
    <row r="358" spans="1:26" ht="15" x14ac:dyDescent="0.25">
      <c r="A358">
        <v>1.0002842492409041</v>
      </c>
      <c r="B358">
        <v>60</v>
      </c>
      <c r="Z358">
        <f t="shared" si="3"/>
        <v>1.0171987553738913</v>
      </c>
    </row>
    <row r="359" spans="1:26" ht="15" x14ac:dyDescent="0.25">
      <c r="A359">
        <v>1.0002842492409041</v>
      </c>
      <c r="B359">
        <v>63</v>
      </c>
      <c r="Z359">
        <f t="shared" si="3"/>
        <v>1.0180664158811927</v>
      </c>
    </row>
    <row r="360" spans="1:26" ht="15" x14ac:dyDescent="0.25">
      <c r="A360">
        <v>1.0002842492409041</v>
      </c>
      <c r="B360">
        <v>100</v>
      </c>
      <c r="Z360">
        <f t="shared" si="3"/>
        <v>1.0288286118125165</v>
      </c>
    </row>
    <row r="361" spans="1:26" ht="15" x14ac:dyDescent="0.25">
      <c r="A361">
        <v>1.0002842492409041</v>
      </c>
      <c r="B361">
        <v>120</v>
      </c>
      <c r="Z361">
        <f t="shared" si="3"/>
        <v>1.0346933079341933</v>
      </c>
    </row>
    <row r="362" spans="1:26" ht="15" x14ac:dyDescent="0.25">
      <c r="A362">
        <v>1.0002842492409041</v>
      </c>
      <c r="B362">
        <v>360</v>
      </c>
      <c r="Z362">
        <f t="shared" si="3"/>
        <v>1.1077325584029432</v>
      </c>
    </row>
    <row r="363" spans="1:26" ht="15" x14ac:dyDescent="0.25">
      <c r="A363">
        <v>1.0002842492409041</v>
      </c>
      <c r="B363">
        <v>1000</v>
      </c>
      <c r="Z363">
        <f t="shared" si="3"/>
        <v>1.3287104026023777</v>
      </c>
    </row>
    <row r="364" spans="1:26" ht="15" x14ac:dyDescent="0.25">
      <c r="A364">
        <v>1.0001</v>
      </c>
      <c r="B364">
        <v>-3</v>
      </c>
      <c r="Z364">
        <f t="shared" si="3"/>
        <v>0.99970005999000167</v>
      </c>
    </row>
    <row r="365" spans="1:26" ht="15" x14ac:dyDescent="0.25">
      <c r="A365">
        <v>1.0002842492409041</v>
      </c>
      <c r="B365">
        <v>6</v>
      </c>
      <c r="Z365">
        <f t="shared" si="3"/>
        <v>1.0017067078693205</v>
      </c>
    </row>
    <row r="366" spans="1:26" ht="15" x14ac:dyDescent="0.25">
      <c r="A366">
        <v>1.0002842492409041</v>
      </c>
      <c r="B366">
        <v>7</v>
      </c>
      <c r="Z366">
        <f t="shared" si="3"/>
        <v>1.0019914422406409</v>
      </c>
    </row>
    <row r="367" spans="1:26" ht="15" x14ac:dyDescent="0.25">
      <c r="A367">
        <v>1.0002842492409041</v>
      </c>
      <c r="B367">
        <v>15</v>
      </c>
      <c r="Z367">
        <f t="shared" si="3"/>
        <v>1.0042722328235616</v>
      </c>
    </row>
    <row r="368" spans="1:26" ht="15" x14ac:dyDescent="0.25">
      <c r="A368">
        <v>1.1000000000000001</v>
      </c>
      <c r="B368">
        <v>17</v>
      </c>
      <c r="Z368">
        <f t="shared" si="3"/>
        <v>5.0544702849929433</v>
      </c>
    </row>
    <row r="369" spans="1:26" ht="15" x14ac:dyDescent="0.25">
      <c r="A369">
        <v>1.0002842492409041</v>
      </c>
      <c r="B369">
        <v>33</v>
      </c>
      <c r="Z369">
        <f t="shared" si="3"/>
        <v>1.0094230116726834</v>
      </c>
    </row>
    <row r="370" spans="1:26" ht="15" x14ac:dyDescent="0.25">
      <c r="A370">
        <v>1.0002842492409041</v>
      </c>
      <c r="B370">
        <v>-2</v>
      </c>
      <c r="Z370">
        <f t="shared" si="3"/>
        <v>0.9994317438192506</v>
      </c>
    </row>
    <row r="371" spans="1:26" ht="15" x14ac:dyDescent="0.25">
      <c r="A371">
        <v>1.0002842492409041</v>
      </c>
      <c r="B371">
        <v>5</v>
      </c>
      <c r="Z371">
        <f t="shared" si="3"/>
        <v>1.0014220544105294</v>
      </c>
    </row>
    <row r="372" spans="1:26" ht="15" x14ac:dyDescent="0.25">
      <c r="A372">
        <v>1.0002842492409041</v>
      </c>
      <c r="B372">
        <v>-1</v>
      </c>
      <c r="Z372">
        <f t="shared" si="3"/>
        <v>0.99971583153376675</v>
      </c>
    </row>
    <row r="373" spans="1:26" ht="15" x14ac:dyDescent="0.25">
      <c r="A373">
        <v>1.0002842492409041</v>
      </c>
      <c r="B373">
        <v>2</v>
      </c>
      <c r="Z373">
        <f t="shared" si="3"/>
        <v>1.0005685792794392</v>
      </c>
    </row>
    <row r="374" spans="1:26" ht="15" x14ac:dyDescent="0.25">
      <c r="A374">
        <v>1.0002842492409041</v>
      </c>
      <c r="B374">
        <v>3</v>
      </c>
      <c r="Z374">
        <f t="shared" si="3"/>
        <v>1.0008529901385719</v>
      </c>
    </row>
    <row r="375" spans="1:26" ht="15" x14ac:dyDescent="0.25">
      <c r="A375">
        <v>1.0002842492409041</v>
      </c>
      <c r="Z375">
        <f>A375^12</f>
        <v>1.0034163285903921</v>
      </c>
    </row>
    <row r="376" spans="1:26" ht="15" x14ac:dyDescent="0.25">
      <c r="A376">
        <v>1.0002842492409041</v>
      </c>
      <c r="Z376">
        <f>A376^13</f>
        <v>1.0037015489201044</v>
      </c>
    </row>
    <row r="377" spans="1:26" ht="15" x14ac:dyDescent="0.25">
      <c r="A377">
        <v>1.0002842492409041</v>
      </c>
      <c r="Z377">
        <f>A377^(-12)</f>
        <v>0.99659530297340149</v>
      </c>
    </row>
    <row r="378" spans="1:26" ht="15" x14ac:dyDescent="0.25">
      <c r="A378">
        <v>1.0002842492409041</v>
      </c>
      <c r="Z378">
        <f>A378^360</f>
        <v>1.1077325584029432</v>
      </c>
    </row>
    <row r="379" spans="1:26" ht="15" x14ac:dyDescent="0.25">
      <c r="A379">
        <v>2.8424924090404604E-4</v>
      </c>
      <c r="Z379">
        <f>((1+A379)^12-1)*100</f>
        <v>0.34163285903920926</v>
      </c>
    </row>
    <row r="380" spans="1:26" ht="15" x14ac:dyDescent="0.25">
      <c r="A380">
        <v>1.1000000000000001</v>
      </c>
      <c r="B380">
        <v>12.000000000000002</v>
      </c>
      <c r="Z380">
        <f>A380^B380</f>
        <v>3.1384283767210035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2026-10-09T05:23:48Z</dcterms:created>
  <dcterms:modified xsi:type="dcterms:W3CDTF">2026-10-09T05:23:48Z</dcterms:modified>
</cp:coreProperties>
</file>