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89BD51B-B804-4584-9600-32E6AE4E71B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5" i="1" l="1"/>
  <c r="Z34" i="1"/>
  <c r="Z33" i="1"/>
  <c r="Z32" i="1"/>
  <c r="Z31" i="1"/>
  <c r="Z29" i="1"/>
  <c r="Z28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"/>
  <sheetViews>
    <sheetView tabSelected="1" workbookViewId="0"/>
  </sheetViews>
  <sheetFormatPr defaultRowHeight="14.25" x14ac:dyDescent="0.25"/>
  <sheetData>
    <row r="1" spans="1:26" ht="15" x14ac:dyDescent="0.25">
      <c r="A1">
        <v>2</v>
      </c>
      <c r="B1">
        <v>3</v>
      </c>
      <c r="C1">
        <v>2</v>
      </c>
      <c r="Z1">
        <f>A1^B1^C1</f>
        <v>64</v>
      </c>
    </row>
    <row r="2" spans="1:26" ht="15" x14ac:dyDescent="0.25">
      <c r="A2">
        <v>2</v>
      </c>
      <c r="B2">
        <v>2</v>
      </c>
      <c r="C2">
        <v>3</v>
      </c>
      <c r="Z2">
        <f>A2^B2^C2</f>
        <v>64</v>
      </c>
    </row>
    <row r="3" spans="1:26" ht="15" x14ac:dyDescent="0.25">
      <c r="A3">
        <v>4</v>
      </c>
      <c r="B3">
        <v>0.5</v>
      </c>
      <c r="C3">
        <v>3</v>
      </c>
      <c r="Z3">
        <f>A3^B3^C3</f>
        <v>8</v>
      </c>
    </row>
    <row r="4" spans="1:26" ht="15" x14ac:dyDescent="0.25">
      <c r="A4">
        <v>10</v>
      </c>
      <c r="B4">
        <v>2</v>
      </c>
      <c r="C4">
        <v>-1</v>
      </c>
      <c r="Z4">
        <f>A4^B4^C4</f>
        <v>0.01</v>
      </c>
    </row>
    <row r="5" spans="1:26" ht="15" x14ac:dyDescent="0.25">
      <c r="A5">
        <v>3</v>
      </c>
      <c r="B5">
        <v>0</v>
      </c>
      <c r="C5">
        <v>5</v>
      </c>
      <c r="Z5">
        <f>A5^B5^C5</f>
        <v>1</v>
      </c>
    </row>
    <row r="6" spans="1:26" ht="15" x14ac:dyDescent="0.25">
      <c r="A6">
        <v>2</v>
      </c>
      <c r="B6">
        <v>2</v>
      </c>
      <c r="Z6">
        <f>-A6^B6</f>
        <v>4</v>
      </c>
    </row>
    <row r="7" spans="1:26" ht="15" x14ac:dyDescent="0.25">
      <c r="A7">
        <v>2</v>
      </c>
      <c r="B7">
        <v>2</v>
      </c>
      <c r="Z7">
        <f>A7^-B7</f>
        <v>0.25</v>
      </c>
    </row>
    <row r="8" spans="1:26" ht="15" x14ac:dyDescent="0.25">
      <c r="A8">
        <v>2</v>
      </c>
      <c r="B8">
        <v>3</v>
      </c>
      <c r="Z8">
        <f>-A8^B8</f>
        <v>-8</v>
      </c>
    </row>
    <row r="9" spans="1:26" ht="15" x14ac:dyDescent="0.25">
      <c r="A9">
        <v>2</v>
      </c>
      <c r="B9">
        <v>3</v>
      </c>
      <c r="Z9">
        <f>A9^-B9</f>
        <v>0.125</v>
      </c>
    </row>
    <row r="10" spans="1:26" ht="15" x14ac:dyDescent="0.25">
      <c r="A10">
        <v>3</v>
      </c>
      <c r="B10">
        <v>3</v>
      </c>
      <c r="Z10">
        <f>-A10^B10</f>
        <v>-27</v>
      </c>
    </row>
    <row r="11" spans="1:26" ht="15" x14ac:dyDescent="0.25">
      <c r="A11">
        <v>3</v>
      </c>
      <c r="B11">
        <v>3</v>
      </c>
      <c r="Z11">
        <f>A11^-B11</f>
        <v>3.7037037037037035E-2</v>
      </c>
    </row>
    <row r="12" spans="1:26" ht="15" x14ac:dyDescent="0.25">
      <c r="A12">
        <v>0.5</v>
      </c>
      <c r="B12">
        <v>2</v>
      </c>
      <c r="Z12">
        <f>-A12^B12</f>
        <v>0.25</v>
      </c>
    </row>
    <row r="13" spans="1:26" ht="15" x14ac:dyDescent="0.25">
      <c r="A13">
        <v>0.5</v>
      </c>
      <c r="B13">
        <v>2</v>
      </c>
      <c r="Z13">
        <f>A13^-B13</f>
        <v>4</v>
      </c>
    </row>
    <row r="14" spans="1:26" ht="15" x14ac:dyDescent="0.25">
      <c r="Z14">
        <f>2^3^2</f>
        <v>64</v>
      </c>
    </row>
    <row r="15" spans="1:26" ht="15" x14ac:dyDescent="0.25">
      <c r="Z15">
        <f>-2^2</f>
        <v>4</v>
      </c>
    </row>
    <row r="16" spans="1:26" ht="15" x14ac:dyDescent="0.25">
      <c r="Z16" t="e">
        <f>0^0</f>
        <v>#NUM!</v>
      </c>
    </row>
    <row r="17" spans="26:26" ht="15" x14ac:dyDescent="0.25">
      <c r="Z17">
        <f>(-8)^(1/3)</f>
        <v>-1.9999999999999998</v>
      </c>
    </row>
    <row r="18" spans="26:26" ht="15" x14ac:dyDescent="0.25">
      <c r="Z18">
        <f>(-8)^3</f>
        <v>-512</v>
      </c>
    </row>
    <row r="19" spans="26:26" ht="15" x14ac:dyDescent="0.25">
      <c r="Z19" t="e">
        <f>(-1)^0.5</f>
        <v>#NUM!</v>
      </c>
    </row>
    <row r="20" spans="26:26" ht="15" x14ac:dyDescent="0.25">
      <c r="Z20" t="e">
        <f>10^400</f>
        <v>#NUM!</v>
      </c>
    </row>
    <row r="21" spans="26:26" ht="15" x14ac:dyDescent="0.25">
      <c r="Z21">
        <f>2^-1074</f>
        <v>0</v>
      </c>
    </row>
    <row r="22" spans="26:26" ht="15" x14ac:dyDescent="0.25">
      <c r="Z22">
        <f>2^-1080</f>
        <v>0</v>
      </c>
    </row>
    <row r="23" spans="26:26" ht="15" x14ac:dyDescent="0.25">
      <c r="Z23" t="e">
        <f>0^-1</f>
        <v>#DIV/0!</v>
      </c>
    </row>
    <row r="24" spans="26:26" ht="15" x14ac:dyDescent="0.25">
      <c r="Z24">
        <f>2^0.5</f>
        <v>1.4142135623730951</v>
      </c>
    </row>
    <row r="25" spans="26:26" ht="15" x14ac:dyDescent="0.25">
      <c r="Z25">
        <f>(-2)^2</f>
        <v>4</v>
      </c>
    </row>
    <row r="26" spans="26:26" ht="15" x14ac:dyDescent="0.25">
      <c r="Z26">
        <f>(-2)^-2</f>
        <v>0.25</v>
      </c>
    </row>
    <row r="27" spans="26:26" ht="15" x14ac:dyDescent="0.25"/>
    <row r="28" spans="26:26" ht="15" x14ac:dyDescent="0.25">
      <c r="Z28" t="e">
        <f>(-8)^0.4</f>
        <v>#NUM!</v>
      </c>
    </row>
    <row r="29" spans="26:26" ht="15" x14ac:dyDescent="0.25">
      <c r="Z29" t="e">
        <f>2^1023*2</f>
        <v>#NUM!</v>
      </c>
    </row>
    <row r="30" spans="26:26" ht="15" x14ac:dyDescent="0.25"/>
    <row r="31" spans="26:26" ht="15" x14ac:dyDescent="0.25">
      <c r="Z31" t="e">
        <f>-2^0.5</f>
        <v>#NUM!</v>
      </c>
    </row>
    <row r="32" spans="26:26" ht="15" x14ac:dyDescent="0.25">
      <c r="Z32">
        <f>2^-1022</f>
        <v>2.2250738585072014E-308</v>
      </c>
    </row>
    <row r="33" spans="1:26" ht="15" x14ac:dyDescent="0.25">
      <c r="A33">
        <v>0</v>
      </c>
      <c r="Z33" t="e">
        <f>IF(A33^-1&gt;1,5,6)</f>
        <v>#DIV/0!</v>
      </c>
    </row>
    <row r="34" spans="1:26" ht="15" x14ac:dyDescent="0.25">
      <c r="C34">
        <v>-8</v>
      </c>
      <c r="Z34" t="e">
        <f>IF(C34^0.5&gt;2,5,6)</f>
        <v>#NUM!</v>
      </c>
    </row>
    <row r="35" spans="1:26" ht="15" x14ac:dyDescent="0.25">
      <c r="Z35" t="e">
        <f>IF(10^400&gt;0,1,2)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2026-10-09T05:23:51Z</dcterms:created>
  <dcterms:modified xsi:type="dcterms:W3CDTF">2026-10-09T05:23:51Z</dcterms:modified>
</cp:coreProperties>
</file>